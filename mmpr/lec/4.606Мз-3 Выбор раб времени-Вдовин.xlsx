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1-Теория" sheetId="1" state="visible" r:id="rId3"/>
    <sheet name="3-Тест ДЛЯ ВАС" sheetId="2" state="visible" r:id="rId4"/>
    <sheet name="4-Анализ решения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<sst xmlns="http://schemas.openxmlformats.org/spreadsheetml/2006/main" count="139" uniqueCount="111">
  <si>
    <t xml:space="preserve">ЗАДАЧА ВЫБОРА ОПТИМАЛЬНОЙ ПРОДОЛЖИТЕЛЬНОСТИ РАБОЧЕГО ВРЕМЕНИ: М 1</t>
  </si>
  <si>
    <t xml:space="preserve">Обозначения компьютерной модели</t>
  </si>
  <si>
    <t xml:space="preserve">Таблица 1.1</t>
  </si>
  <si>
    <t xml:space="preserve">Примеры расчетов  рабочего времениTp=15</t>
  </si>
  <si>
    <t xml:space="preserve">             Таблица 1.2</t>
  </si>
  <si>
    <t xml:space="preserve">Обозначение</t>
  </si>
  <si>
    <t xml:space="preserve">Экономический смысл</t>
  </si>
  <si>
    <t xml:space="preserve">Примечание</t>
  </si>
  <si>
    <t xml:space="preserve">№ п/п</t>
  </si>
  <si>
    <t xml:space="preserve">W</t>
  </si>
  <si>
    <r>
      <rPr>
        <i val="true"/>
        <sz val="14"/>
        <color rgb="FF000000"/>
        <rFont val="Times New Roman"/>
        <family val="1"/>
        <charset val="204"/>
      </rPr>
      <t xml:space="preserve">t</t>
    </r>
    <r>
      <rPr>
        <i val="true"/>
        <vertAlign val="subscript"/>
        <sz val="14"/>
        <color rgb="FF000000"/>
        <rFont val="Times New Roman"/>
        <family val="1"/>
        <charset val="204"/>
      </rPr>
      <t xml:space="preserve">p</t>
    </r>
    <r>
      <rPr>
        <i val="true"/>
        <sz val="14"/>
        <color rgb="FF000000"/>
        <rFont val="Times New Roman"/>
        <family val="1"/>
        <charset val="204"/>
      </rPr>
      <t xml:space="preserve">, t</t>
    </r>
    <r>
      <rPr>
        <i val="true"/>
        <vertAlign val="subscript"/>
        <sz val="14"/>
        <color rgb="FF000000"/>
        <rFont val="Times New Roman"/>
        <family val="1"/>
        <charset val="204"/>
      </rPr>
      <t xml:space="preserve">c</t>
    </r>
  </si>
  <si>
    <t xml:space="preserve">Среднедневная продолжительность рабочего и свободного времени соответственно (в рабочие дни)</t>
  </si>
  <si>
    <t xml:space="preserve">Сумма рабочего и свободного времени +  Тн =24 часа</t>
  </si>
  <si>
    <t xml:space="preserve">Tн</t>
  </si>
  <si>
    <t xml:space="preserve">Необходимые затраты времени (сон, питание, обязательства и др.)  (в рабочие дни)</t>
  </si>
  <si>
    <t xml:space="preserve">Не менее 8 часов  </t>
  </si>
  <si>
    <t xml:space="preserve">Tр</t>
  </si>
  <si>
    <t xml:space="preserve">Сумма рабочего и свободного (досугового) времени  (в рабочие дни), час</t>
  </si>
  <si>
    <t xml:space="preserve">Не более  16 часов  </t>
  </si>
  <si>
    <r>
      <rPr>
        <i val="true"/>
        <sz val="14"/>
        <color rgb="FF000000"/>
        <rFont val="Times New Roman"/>
        <family val="1"/>
        <charset val="204"/>
      </rPr>
      <t xml:space="preserve">f(t</t>
    </r>
    <r>
      <rPr>
        <i val="true"/>
        <vertAlign val="subscript"/>
        <sz val="14"/>
        <color rgb="FF000000"/>
        <rFont val="Times New Roman"/>
        <family val="1"/>
        <charset val="204"/>
      </rPr>
      <t xml:space="preserve">p</t>
    </r>
    <r>
      <rPr>
        <i val="true"/>
        <sz val="14"/>
        <color rgb="FF000000"/>
        <rFont val="Times New Roman"/>
        <family val="1"/>
        <charset val="204"/>
      </rPr>
      <t xml:space="preserve">, t</t>
    </r>
    <r>
      <rPr>
        <i val="true"/>
        <vertAlign val="subscript"/>
        <sz val="14"/>
        <color rgb="FF000000"/>
        <rFont val="Times New Roman"/>
        <family val="1"/>
        <charset val="204"/>
      </rPr>
      <t xml:space="preserve">c</t>
    </r>
    <r>
      <rPr>
        <i val="true"/>
        <sz val="14"/>
        <color rgb="FF000000"/>
        <rFont val="Times New Roman"/>
        <family val="1"/>
        <charset val="204"/>
      </rPr>
      <t xml:space="preserve">)</t>
    </r>
  </si>
  <si>
    <t xml:space="preserve">Функция полезности свободного и рабочего времени</t>
  </si>
  <si>
    <t xml:space="preserve">Общий случай</t>
  </si>
  <si>
    <t xml:space="preserve">Полезность единицы рабочего времени, выраженное в единицах полезности свободного времени</t>
  </si>
  <si>
    <t xml:space="preserve">W &gt; 0</t>
  </si>
  <si>
    <t xml:space="preserve">w</t>
  </si>
  <si>
    <t xml:space="preserve"> Индекс полезности единицы рабочего времени, который определяется денежной оплатой труда</t>
  </si>
  <si>
    <t xml:space="preserve">w&gt;0</t>
  </si>
  <si>
    <t xml:space="preserve">v</t>
  </si>
  <si>
    <t xml:space="preserve"> Индекс полезности единицы рабочего времени, который определяется моральными стимулами</t>
  </si>
  <si>
    <t xml:space="preserve">Интерввал -0,8&lt;v&lt;0,8</t>
  </si>
  <si>
    <t xml:space="preserve">b</t>
  </si>
  <si>
    <t xml:space="preserve">Коэффициент синергии свободного и рабочего времени </t>
  </si>
  <si>
    <t xml:space="preserve">0 &lt; b &lt; 1</t>
  </si>
  <si>
    <r>
      <rPr>
        <i val="true"/>
        <sz val="14"/>
        <color rgb="FF000000"/>
        <rFont val="Times New Roman"/>
        <family val="1"/>
        <charset val="204"/>
      </rPr>
      <t xml:space="preserve">U(t</t>
    </r>
    <r>
      <rPr>
        <i val="true"/>
        <vertAlign val="subscript"/>
        <sz val="14"/>
        <color rgb="FF000000"/>
        <rFont val="Times New Roman"/>
        <family val="1"/>
        <charset val="204"/>
      </rPr>
      <t xml:space="preserve">p</t>
    </r>
    <r>
      <rPr>
        <i val="true"/>
        <sz val="14"/>
        <color rgb="FF000000"/>
        <rFont val="Times New Roman"/>
        <family val="1"/>
        <charset val="204"/>
      </rPr>
      <t xml:space="preserve">)</t>
    </r>
  </si>
  <si>
    <t xml:space="preserve">Функция субъективной полезности рабочего  времени в среднем за рабочий день</t>
  </si>
  <si>
    <t xml:space="preserve">Wс = 1,  W = Wр /Wс </t>
  </si>
  <si>
    <t xml:space="preserve">Внешнее ограничение на продолжительность рабочего времени, определяемое рабочим местом</t>
  </si>
  <si>
    <t xml:space="preserve">Определяется трудовым контрактом</t>
  </si>
  <si>
    <t xml:space="preserve">Задача выбора рабочего времени</t>
  </si>
  <si>
    <t xml:space="preserve">   ЗАДАЧА ВЫБОРА ОПТИМАЛЬНОЙ ПРОДОЛЖИТЕЛЬНОСТИ РАБОЧЕГО ВРЕМЕНИ: М 1</t>
  </si>
  <si>
    <t xml:space="preserve"> Заполните следующие таблицы (3.1, 3.2, 3.3, 3.4) в выделенных цветом ячейках в столбце D, цвет =&gt;</t>
  </si>
  <si>
    <t xml:space="preserve">Исходные данные для оценки предельной продолжительности  рабочего времени</t>
  </si>
  <si>
    <t xml:space="preserve">Таблица 3.1</t>
  </si>
  <si>
    <t xml:space="preserve">Вопросы</t>
  </si>
  <si>
    <t xml:space="preserve">Ответы</t>
  </si>
  <si>
    <t xml:space="preserve">Оценка корректности введенного ответа</t>
  </si>
  <si>
    <t xml:space="preserve">Сколько времени Вы спите в рабочие дни для поддержания нормальной трудоспособности</t>
  </si>
  <si>
    <t xml:space="preserve">Продолжительность утреннего завтрака и процедур</t>
  </si>
  <si>
    <t xml:space="preserve">Продолжительность поездок на работу и обратно (- работа при поездке) </t>
  </si>
  <si>
    <t xml:space="preserve">Затраты времени на обеденный перерыв и «перекусы» в вечернее время</t>
  </si>
  <si>
    <t xml:space="preserve">Дополнительные перерывы работы, включая звонки по телефону, беседы на темы не связанные с работой и др.</t>
  </si>
  <si>
    <t xml:space="preserve">Минимальные в рабочие дни затраты времени на развлечение на сайтах интернета, социальных сетях и др. </t>
  </si>
  <si>
    <t xml:space="preserve">Затраты  в рабочие дни времени на Ваши суперувлечения, обяза-тельное посещение родных от которых нельзя отказаться и др.</t>
  </si>
  <si>
    <t xml:space="preserve">Сумма обязательных затрат времени в среднем за рабочие дни</t>
  </si>
  <si>
    <t xml:space="preserve">Служебные расчеты</t>
  </si>
  <si>
    <t xml:space="preserve">Tp  - Суммарная продолжительность рабочего и свободного времени</t>
  </si>
  <si>
    <t xml:space="preserve">Комментарий результата</t>
  </si>
  <si>
    <t xml:space="preserve">Исходные данные для оценки внешнего ограничения на выбор   рабочего времени</t>
  </si>
  <si>
    <t xml:space="preserve">Таблица 3.2</t>
  </si>
  <si>
    <t xml:space="preserve">Вы работаете (хотите, планируете работать) в условиях нормированного рабочего дня: Да – 1, Нет – 0</t>
  </si>
  <si>
    <t xml:space="preserve">Если Да. Ваша продолжительность основного  рабочего дня</t>
  </si>
  <si>
    <t xml:space="preserve">Если Да. Средняя продолжительность работы по совмести-тельству, включая временные контракты, консультационные услуги, личное подсобное хозяйство в различных формах и др.</t>
  </si>
  <si>
    <t xml:space="preserve">Если  Да.Суммарная продолжительность обязательных работ</t>
  </si>
  <si>
    <t xml:space="preserve">Сужебные расчеты</t>
  </si>
  <si>
    <t xml:space="preserve">Предельные затраты рабочего и свободного   времени в среднем. Требуется, чтобы обязательные работы + 0,5 часа не превышали это значение</t>
  </si>
  <si>
    <t xml:space="preserve">Исходные данные для оценки полезности ЗП одного часа  рабочего времени</t>
  </si>
  <si>
    <t xml:space="preserve">Таблица 3.3</t>
  </si>
  <si>
    <t xml:space="preserve">Какая месячная сумма денежных средств Вам необходима как ресурс для исполнения Вами реальных обязательств, тыс. руб.</t>
  </si>
  <si>
    <t xml:space="preserve">Какую сумму денежных средств в среднем Вы получаете как проценты с накоплений, тыс. руб.</t>
  </si>
  <si>
    <t xml:space="preserve">Среднемесячный доход от сдачи в аренду недвижимости, тыс. руб.</t>
  </si>
  <si>
    <t xml:space="preserve">Среднемесячная финансовая помощь родных, друзей и др., тыс. руб.</t>
  </si>
  <si>
    <r>
      <rPr>
        <sz val="14"/>
        <color theme="1"/>
        <rFont val="Times New Roman"/>
        <family val="1"/>
        <charset val="204"/>
      </rPr>
      <t xml:space="preserve">Экспертная оценки средней ЗП на рынке труда для Вашей профессии, </t>
    </r>
    <r>
      <rPr>
        <i val="true"/>
        <sz val="14"/>
        <color theme="1"/>
        <rFont val="Times New Roman"/>
        <family val="1"/>
        <charset val="204"/>
      </rPr>
      <t xml:space="preserve">Z</t>
    </r>
    <r>
      <rPr>
        <i val="true"/>
        <vertAlign val="subscript"/>
        <sz val="14"/>
        <color theme="1"/>
        <rFont val="Times New Roman"/>
        <family val="1"/>
        <charset val="204"/>
      </rPr>
      <t xml:space="preserve">p . </t>
    </r>
  </si>
  <si>
    <t xml:space="preserve">Можете изменить</t>
  </si>
  <si>
    <t xml:space="preserve">Требуемые месячные финансовые ресурсы (п.1 - пп. 2-4), тыс. руб.</t>
  </si>
  <si>
    <t xml:space="preserve">Оценка полезности заработной платы единицы рабочего времени, w</t>
  </si>
  <si>
    <t xml:space="preserve">Исходные данные для оценки полезности моральных стимулов одного часа  рабочего времени</t>
  </si>
  <si>
    <t xml:space="preserve">Таблица 3.4</t>
  </si>
  <si>
    <t xml:space="preserve">Месячная сумма денежных средств по Вашей оценке эквивалентная стимулам работодателя (благо с +), тыс. руб.</t>
  </si>
  <si>
    <t xml:space="preserve">Месячная сумма денежных средств по Вашей оценке эквивалентна антистимулам работодателя (ущерб с -), тыс. руб.</t>
  </si>
  <si>
    <t xml:space="preserve">Среднемесячная личная оценка (+ или -) выбора Вашей профессии, специализации в сравнении с базой заработной платы, тыс. руб.</t>
  </si>
  <si>
    <t xml:space="preserve">Сравнительная среднемесячная личная оценка (+ или -) условий реализации Вашей профессии, специализации, тыс. руб.</t>
  </si>
  <si>
    <r>
      <rPr>
        <sz val="14"/>
        <color theme="1"/>
        <rFont val="Times New Roman"/>
        <family val="1"/>
        <charset val="204"/>
      </rPr>
      <t xml:space="preserve">Значение экспертной оценки </t>
    </r>
    <r>
      <rPr>
        <i val="true"/>
        <sz val="14"/>
        <color theme="1"/>
        <rFont val="Times New Roman"/>
        <family val="1"/>
        <charset val="204"/>
      </rPr>
      <t xml:space="preserve">Z</t>
    </r>
    <r>
      <rPr>
        <i val="true"/>
        <vertAlign val="subscript"/>
        <sz val="14"/>
        <color theme="1"/>
        <rFont val="Times New Roman"/>
        <family val="1"/>
        <charset val="204"/>
      </rPr>
      <t xml:space="preserve">p</t>
    </r>
  </si>
  <si>
    <t xml:space="preserve">Служебные действия</t>
  </si>
  <si>
    <t xml:space="preserve">Сумма нематериальных благ в  месяц , тыс. руб. (сумма  пп. 1-4)</t>
  </si>
  <si>
    <t xml:space="preserve">Индекс оценка полезности нематериальных благ рабочего времени, v</t>
  </si>
  <si>
    <t xml:space="preserve">Оценка полезности рабочего времени, W=w+v</t>
  </si>
  <si>
    <t xml:space="preserve">Вопросы к тестируемому</t>
  </si>
  <si>
    <t xml:space="preserve">Оптимальное  решение, параметры задачи оптимизации, анализ и оценки результатов</t>
  </si>
  <si>
    <t xml:space="preserve">Таблица 4.1</t>
  </si>
  <si>
    <t xml:space="preserve">Ответы ДА или НЕТ</t>
  </si>
  <si>
    <t xml:space="preserve">Наименование параметра</t>
  </si>
  <si>
    <t xml:space="preserve">Значение</t>
  </si>
  <si>
    <t xml:space="preserve">Анализ и оценки</t>
  </si>
  <si>
    <t xml:space="preserve">Вы работаете?</t>
  </si>
  <si>
    <t xml:space="preserve">ДА</t>
  </si>
  <si>
    <t xml:space="preserve">Если нет, хотите работать?</t>
  </si>
  <si>
    <t xml:space="preserve">Оценка  полезности часа  рабочего времени, выраженное в единицах свободного времени</t>
  </si>
  <si>
    <t xml:space="preserve">Если работаете, хотите сменить работу?</t>
  </si>
  <si>
    <t xml:space="preserve">НЕТ</t>
  </si>
  <si>
    <t xml:space="preserve">Оценка минимальной полезности  часа  рабочего времени, для мотивации к работе</t>
  </si>
  <si>
    <t xml:space="preserve">Вам хочется работать больше?</t>
  </si>
  <si>
    <t xml:space="preserve">Значение коэффициента синергии полезностей свободного и рабочего времени </t>
  </si>
  <si>
    <t xml:space="preserve">Вам хочется больше отдыхать?</t>
  </si>
  <si>
    <t xml:space="preserve">Ограничение на продолжительность рабочего времени, определяемое трудовым контрактом</t>
  </si>
  <si>
    <t xml:space="preserve">Стационарная точка функции полезности рабочего времени</t>
  </si>
  <si>
    <t xml:space="preserve">Вы согласны с  оценками для ВАС?</t>
  </si>
  <si>
    <t xml:space="preserve">Оптимальная продолжительность рабочего времени, формула по варианту 1. Выполняю условие трудового контракта.</t>
  </si>
  <si>
    <t xml:space="preserve">СПАСИБО ЗА ОТВЕТЫ</t>
  </si>
  <si>
    <t xml:space="preserve">Значение субъективной полезности рабочего и свободного времени</t>
  </si>
  <si>
    <t xml:space="preserve">  Вариант 2: Решение задачи выбора рабочего времени</t>
  </si>
  <si>
    <t xml:space="preserve">Задача выбора рабочего времени                         Вариант 1: Решение задачи выбора рабочего времени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</si>
</sst>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"/>
    <numFmt numFmtId="167" formatCode="0.00"/>
  </numFmts>
  <fonts count="23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.5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 val="true"/>
      <i val="true"/>
      <sz val="12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i val="true"/>
      <sz val="14"/>
      <color rgb="FF000000"/>
      <name val="Times New Roman"/>
      <family val="1"/>
      <charset val="204"/>
    </font>
    <font>
      <i val="true"/>
      <vertAlign val="subscript"/>
      <sz val="14"/>
      <color rgb="FF000000"/>
      <name val="Times New Roman"/>
      <family val="1"/>
      <charset val="204"/>
    </font>
    <font>
      <i val="true"/>
      <sz val="14"/>
      <color rgb="FF000000"/>
      <name val="Symbol"/>
      <family val="1"/>
      <charset val="2"/>
    </font>
    <font>
      <b val="true"/>
      <sz val="14"/>
      <color rgb="FF0070C0"/>
      <name val="Times New Roman"/>
      <family val="1"/>
      <charset val="204"/>
    </font>
    <font>
      <b val="true"/>
      <sz val="14"/>
      <color theme="1"/>
      <name val="Times New Roman"/>
      <family val="1"/>
      <charset val="204"/>
    </font>
    <font>
      <sz val="14"/>
      <color theme="5" tint="-0.25"/>
      <name val="Times New Roman"/>
      <family val="1"/>
      <charset val="204"/>
    </font>
    <font>
      <sz val="14"/>
      <color theme="1"/>
      <name val="Calibri"/>
      <family val="2"/>
      <charset val="204"/>
    </font>
    <font>
      <sz val="14"/>
      <color theme="1"/>
      <name val="Times New Roman"/>
      <family val="1"/>
      <charset val="204"/>
    </font>
    <font>
      <i val="true"/>
      <sz val="12"/>
      <color rgb="FF000000"/>
      <name val="Times New Roman"/>
      <family val="1"/>
      <charset val="204"/>
    </font>
    <font>
      <i val="true"/>
      <sz val="16"/>
      <name val="Times New Roman"/>
      <family val="1"/>
      <charset val="204"/>
    </font>
    <font>
      <i val="true"/>
      <sz val="14"/>
      <color theme="1"/>
      <name val="Times New Roman"/>
      <family val="1"/>
      <charset val="204"/>
    </font>
    <font>
      <i val="true"/>
      <vertAlign val="subscript"/>
      <sz val="14"/>
      <color theme="1"/>
      <name val="Times New Roman"/>
      <family val="1"/>
      <charset val="204"/>
    </font>
    <font>
      <sz val="24"/>
      <color theme="1"/>
      <name val="Calibri"/>
      <family val="2"/>
      <charset val="204"/>
    </font>
    <font>
      <sz val="12"/>
      <color theme="1"/>
      <name val="Calibri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theme="0" tint="-0.05"/>
        <bgColor rgb="FFDBEEF4"/>
      </patternFill>
    </fill>
    <fill>
      <patternFill patternType="solid">
        <fgColor theme="8" tint="0.3999"/>
        <bgColor rgb="FFB7DEE8"/>
      </patternFill>
    </fill>
    <fill>
      <patternFill patternType="solid">
        <fgColor rgb="FFFFFFCC"/>
        <bgColor rgb="FFFFFF99"/>
      </patternFill>
    </fill>
    <fill>
      <patternFill patternType="solid">
        <fgColor rgb="FFCCFFFF"/>
        <bgColor rgb="FFDBEEF4"/>
      </patternFill>
    </fill>
    <fill>
      <patternFill patternType="solid">
        <fgColor theme="8" tint="0.7999"/>
        <bgColor rgb="FFF2F2F2"/>
      </patternFill>
    </fill>
    <fill>
      <patternFill patternType="solid">
        <fgColor rgb="FF92D050"/>
        <bgColor rgb="FFC0C0C0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DBEEF4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1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5" fontId="7" fillId="2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6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9" borderId="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9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21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6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53735"/>
      <rgbColor rgb="FFFFFFCC"/>
      <rgbColor rgb="FFCCFFFF"/>
      <rgbColor rgb="FF660066"/>
      <rgbColor rgb="FFFF8080"/>
      <rgbColor rgb="FF0070C0"/>
      <rgbColor rgb="FFB7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BEEF4"/>
      <rgbColor rgb="FFCCFFCC"/>
      <rgbColor rgb="FFFFFF99"/>
      <rgbColor rgb="FF93CDDD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361800</xdr:colOff>
      <xdr:row>13</xdr:row>
      <xdr:rowOff>76320</xdr:rowOff>
    </xdr:from>
    <xdr:to>
      <xdr:col>3</xdr:col>
      <xdr:colOff>209160</xdr:colOff>
      <xdr:row>15</xdr:row>
      <xdr:rowOff>171360</xdr:rowOff>
    </xdr:to>
    <xdr:pic>
      <xdr:nvPicPr>
        <xdr:cNvPr id="1" name="Рисунок 2"/>
        <xdr:cNvPicPr/>
      </xdr:nvPicPr>
      <xdr:blipFill>
        <a:blip r:embed="rId1"/>
        <a:stretch/>
      </xdr:blipFill>
      <xdr:spPr>
        <a:xfrm>
          <a:off x="973440" y="4804560"/>
          <a:ext cx="4726440" cy="456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800280</xdr:colOff>
      <xdr:row>18</xdr:row>
      <xdr:rowOff>28440</xdr:rowOff>
    </xdr:from>
    <xdr:to>
      <xdr:col>2</xdr:col>
      <xdr:colOff>2590560</xdr:colOff>
      <xdr:row>20</xdr:row>
      <xdr:rowOff>56520</xdr:rowOff>
    </xdr:to>
    <xdr:pic>
      <xdr:nvPicPr>
        <xdr:cNvPr id="2" name="Рисунок 1"/>
        <xdr:cNvPicPr/>
      </xdr:nvPicPr>
      <xdr:blipFill>
        <a:blip r:embed="rId2"/>
        <a:stretch/>
      </xdr:blipFill>
      <xdr:spPr>
        <a:xfrm>
          <a:off x="2445480" y="5661360"/>
          <a:ext cx="1790280" cy="390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57240</xdr:colOff>
      <xdr:row>2</xdr:row>
      <xdr:rowOff>57240</xdr:rowOff>
    </xdr:from>
    <xdr:to>
      <xdr:col>9</xdr:col>
      <xdr:colOff>276120</xdr:colOff>
      <xdr:row>2</xdr:row>
      <xdr:rowOff>276120</xdr:rowOff>
    </xdr:to>
    <xdr:pic>
      <xdr:nvPicPr>
        <xdr:cNvPr id="3" name="Рисунок 3"/>
        <xdr:cNvPicPr/>
      </xdr:nvPicPr>
      <xdr:blipFill>
        <a:blip r:embed="rId3"/>
        <a:stretch/>
      </xdr:blipFill>
      <xdr:spPr>
        <a:xfrm>
          <a:off x="11813760" y="446040"/>
          <a:ext cx="218880" cy="218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10</xdr:col>
      <xdr:colOff>165960</xdr:colOff>
      <xdr:row>2</xdr:row>
      <xdr:rowOff>38160</xdr:rowOff>
    </xdr:from>
    <xdr:to>
      <xdr:col>10</xdr:col>
      <xdr:colOff>304560</xdr:colOff>
      <xdr:row>2</xdr:row>
      <xdr:rowOff>240120</xdr:rowOff>
    </xdr:to>
    <xdr:pic>
      <xdr:nvPicPr>
        <xdr:cNvPr id="4" name="Рисунок 4"/>
        <xdr:cNvPicPr/>
      </xdr:nvPicPr>
      <xdr:blipFill>
        <a:blip r:embed="rId4"/>
        <a:stretch/>
      </xdr:blipFill>
      <xdr:spPr>
        <a:xfrm>
          <a:off x="12477960" y="426960"/>
          <a:ext cx="138600" cy="201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66600</xdr:colOff>
      <xdr:row>9</xdr:row>
      <xdr:rowOff>361800</xdr:rowOff>
    </xdr:from>
    <xdr:to>
      <xdr:col>10</xdr:col>
      <xdr:colOff>405000</xdr:colOff>
      <xdr:row>11</xdr:row>
      <xdr:rowOff>216360</xdr:rowOff>
    </xdr:to>
    <xdr:pic>
      <xdr:nvPicPr>
        <xdr:cNvPr id="5" name="Рисунок 17"/>
        <xdr:cNvPicPr/>
      </xdr:nvPicPr>
      <xdr:blipFill>
        <a:blip r:embed="rId5"/>
        <a:stretch/>
      </xdr:blipFill>
      <xdr:spPr>
        <a:xfrm>
          <a:off x="8862480" y="3367080"/>
          <a:ext cx="3854520" cy="548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200160</xdr:colOff>
      <xdr:row>2</xdr:row>
      <xdr:rowOff>45360</xdr:rowOff>
    </xdr:from>
    <xdr:to>
      <xdr:col>7</xdr:col>
      <xdr:colOff>437760</xdr:colOff>
      <xdr:row>2</xdr:row>
      <xdr:rowOff>276480</xdr:rowOff>
    </xdr:to>
    <xdr:pic>
      <xdr:nvPicPr>
        <xdr:cNvPr id="6" name="Рисунок 6"/>
        <xdr:cNvPicPr/>
      </xdr:nvPicPr>
      <xdr:blipFill>
        <a:blip r:embed="rId6"/>
        <a:stretch/>
      </xdr:blipFill>
      <xdr:spPr>
        <a:xfrm>
          <a:off x="10468080" y="434160"/>
          <a:ext cx="237600" cy="231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723960</xdr:colOff>
      <xdr:row>11</xdr:row>
      <xdr:rowOff>76320</xdr:rowOff>
    </xdr:from>
    <xdr:to>
      <xdr:col>8</xdr:col>
      <xdr:colOff>669600</xdr:colOff>
      <xdr:row>11</xdr:row>
      <xdr:rowOff>551880</xdr:rowOff>
    </xdr:to>
    <xdr:pic>
      <xdr:nvPicPr>
        <xdr:cNvPr id="7" name="Рисунок 12"/>
        <xdr:cNvPicPr/>
      </xdr:nvPicPr>
      <xdr:blipFill>
        <a:blip r:embed="rId7"/>
        <a:stretch/>
      </xdr:blipFill>
      <xdr:spPr>
        <a:xfrm>
          <a:off x="9519840" y="3775680"/>
          <a:ext cx="2161800" cy="475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162000</xdr:colOff>
      <xdr:row>4</xdr:row>
      <xdr:rowOff>19080</xdr:rowOff>
    </xdr:from>
    <xdr:to>
      <xdr:col>0</xdr:col>
      <xdr:colOff>466560</xdr:colOff>
      <xdr:row>10</xdr:row>
      <xdr:rowOff>590400</xdr:rowOff>
    </xdr:to>
    <xdr:sp>
      <xdr:nvSpPr>
        <xdr:cNvPr id="8" name="Левая фигурная скобка 1"/>
        <xdr:cNvSpPr/>
      </xdr:nvSpPr>
      <xdr:spPr>
        <a:xfrm>
          <a:off x="162000" y="1475280"/>
          <a:ext cx="304560" cy="4343040"/>
        </a:xfrm>
        <a:prstGeom prst="leftBrace">
          <a:avLst>
            <a:gd name="adj1" fmla="val 8333"/>
            <a:gd name="adj2" fmla="val 50000"/>
          </a:avLst>
        </a:prstGeom>
        <a:noFill/>
        <a:ln w="25400">
          <a:solidFill>
            <a:srgbClr val="000000"/>
          </a:solidFill>
          <a:round/>
        </a:ln>
        <a:effectLst>
          <a:outerShdw blurRad="39960" dir="5400000" dist="20160" rotWithShape="0">
            <a:srgbClr val="000000">
              <a:alpha val="38000"/>
            </a:srgbClr>
          </a:outerShdw>
        </a:effectLst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/>
      </xdr:style>
    </xdr:sp>
    <xdr:clientData/>
  </xdr:twoCellAnchor>
  <xdr:twoCellAnchor editAs="twoCell">
    <xdr:from>
      <xdr:col>0</xdr:col>
      <xdr:colOff>228600</xdr:colOff>
      <xdr:row>23</xdr:row>
      <xdr:rowOff>28440</xdr:rowOff>
    </xdr:from>
    <xdr:to>
      <xdr:col>0</xdr:col>
      <xdr:colOff>456840</xdr:colOff>
      <xdr:row>25</xdr:row>
      <xdr:rowOff>615960</xdr:rowOff>
    </xdr:to>
    <xdr:sp>
      <xdr:nvSpPr>
        <xdr:cNvPr id="9" name="Левая фигурная скобка 2"/>
        <xdr:cNvSpPr/>
      </xdr:nvSpPr>
      <xdr:spPr>
        <a:xfrm>
          <a:off x="228600" y="8574840"/>
          <a:ext cx="228240" cy="1293840"/>
        </a:xfrm>
        <a:prstGeom prst="leftBrace">
          <a:avLst>
            <a:gd name="adj1" fmla="val 8333"/>
            <a:gd name="adj2" fmla="val 50000"/>
          </a:avLst>
        </a:prstGeom>
        <a:noFill/>
        <a:ln w="25400">
          <a:solidFill>
            <a:srgbClr val="000000"/>
          </a:solidFill>
          <a:round/>
        </a:ln>
        <a:effectLst>
          <a:outerShdw blurRad="39960" dir="5400000" dist="20160" rotWithShape="0">
            <a:srgbClr val="000000">
              <a:alpha val="38000"/>
            </a:srgbClr>
          </a:outerShdw>
        </a:effectLst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/>
      </xdr:style>
    </xdr:sp>
    <xdr:clientData/>
  </xdr:twoCellAnchor>
  <xdr:twoCellAnchor editAs="twoCell">
    <xdr:from>
      <xdr:col>0</xdr:col>
      <xdr:colOff>295200</xdr:colOff>
      <xdr:row>32</xdr:row>
      <xdr:rowOff>66600</xdr:rowOff>
    </xdr:from>
    <xdr:to>
      <xdr:col>0</xdr:col>
      <xdr:colOff>523440</xdr:colOff>
      <xdr:row>35</xdr:row>
      <xdr:rowOff>209160</xdr:rowOff>
    </xdr:to>
    <xdr:sp>
      <xdr:nvSpPr>
        <xdr:cNvPr id="10" name="Левая фигурная скобка 4"/>
        <xdr:cNvSpPr/>
      </xdr:nvSpPr>
      <xdr:spPr>
        <a:xfrm>
          <a:off x="295200" y="12033000"/>
          <a:ext cx="228240" cy="1265400"/>
        </a:xfrm>
        <a:prstGeom prst="leftBrace">
          <a:avLst>
            <a:gd name="adj1" fmla="val 8333"/>
            <a:gd name="adj2" fmla="val 50000"/>
          </a:avLst>
        </a:prstGeom>
        <a:noFill/>
        <a:ln w="25400">
          <a:solidFill>
            <a:srgbClr val="000000"/>
          </a:solidFill>
          <a:round/>
        </a:ln>
        <a:effectLst>
          <a:outerShdw blurRad="39960" dir="5400000" dist="20160" rotWithShape="0">
            <a:srgbClr val="000000">
              <a:alpha val="38000"/>
            </a:srgbClr>
          </a:outerShdw>
        </a:effectLst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3171240</xdr:colOff>
      <xdr:row>16</xdr:row>
      <xdr:rowOff>0</xdr:rowOff>
    </xdr:from>
    <xdr:to>
      <xdr:col>3</xdr:col>
      <xdr:colOff>1095840</xdr:colOff>
      <xdr:row>18</xdr:row>
      <xdr:rowOff>24120</xdr:rowOff>
    </xdr:to>
    <xdr:pic>
      <xdr:nvPicPr>
        <xdr:cNvPr id="11" name="Рисунок 12"/>
        <xdr:cNvPicPr/>
      </xdr:nvPicPr>
      <xdr:blipFill>
        <a:blip r:embed="rId1"/>
        <a:stretch/>
      </xdr:blipFill>
      <xdr:spPr>
        <a:xfrm>
          <a:off x="4816440" y="6851160"/>
          <a:ext cx="1770120" cy="385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123120</xdr:colOff>
      <xdr:row>15</xdr:row>
      <xdr:rowOff>78480</xdr:rowOff>
    </xdr:from>
    <xdr:to>
      <xdr:col>11</xdr:col>
      <xdr:colOff>153360</xdr:colOff>
      <xdr:row>17</xdr:row>
      <xdr:rowOff>131760</xdr:rowOff>
    </xdr:to>
    <xdr:pic>
      <xdr:nvPicPr>
        <xdr:cNvPr id="12" name="Рисунок 1"/>
        <xdr:cNvPicPr/>
      </xdr:nvPicPr>
      <xdr:blipFill>
        <a:blip r:embed="rId2"/>
        <a:stretch/>
      </xdr:blipFill>
      <xdr:spPr>
        <a:xfrm>
          <a:off x="9177120" y="6615000"/>
          <a:ext cx="3854520" cy="548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F13" activeCellId="0" sqref="F13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2" min="2" style="0" width="14.67"/>
    <col collapsed="false" customWidth="true" hidden="false" outlineLevel="0" max="3" min="3" style="0" width="54.56"/>
    <col collapsed="false" customWidth="true" hidden="false" outlineLevel="0" max="4" min="4" style="0" width="35.56"/>
    <col collapsed="false" customWidth="true" hidden="false" outlineLevel="0" max="5" min="5" style="0" width="11.33"/>
    <col collapsed="false" customWidth="true" hidden="false" outlineLevel="0" max="6" min="6" style="0" width="11"/>
    <col collapsed="false" customWidth="true" hidden="false" outlineLevel="0" max="7" min="7" style="0" width="9.88"/>
    <col collapsed="false" customWidth="true" hidden="false" outlineLevel="0" max="9" min="8" style="0" width="10.56"/>
    <col collapsed="false" customWidth="true" hidden="false" outlineLevel="0" max="10" min="10" style="0" width="7.88"/>
    <col collapsed="false" customWidth="true" hidden="false" outlineLevel="0" max="11" min="11" style="0" width="8.11"/>
  </cols>
  <sheetData>
    <row r="1" customFormat="false" ht="15.6" hidden="false" customHeight="false" outlineLevel="0" collapsed="false">
      <c r="B1" s="1" t="s">
        <v>0</v>
      </c>
      <c r="C1" s="1"/>
      <c r="D1" s="1"/>
    </row>
    <row r="2" customFormat="false" ht="15" hidden="false" customHeight="false" outlineLevel="0" collapsed="false">
      <c r="C2" s="2" t="s">
        <v>1</v>
      </c>
      <c r="D2" s="3" t="s">
        <v>2</v>
      </c>
      <c r="F2" s="0" t="s">
        <v>3</v>
      </c>
      <c r="J2" s="3" t="s">
        <v>4</v>
      </c>
    </row>
    <row r="3" customFormat="false" ht="26.25" hidden="false" customHeight="true" outlineLevel="0" collapsed="false">
      <c r="B3" s="4" t="s">
        <v>5</v>
      </c>
      <c r="C3" s="4" t="s">
        <v>6</v>
      </c>
      <c r="D3" s="4" t="s">
        <v>7</v>
      </c>
      <c r="F3" s="5" t="s">
        <v>8</v>
      </c>
      <c r="G3" s="6" t="s">
        <v>9</v>
      </c>
      <c r="H3" s="6"/>
      <c r="I3" s="7"/>
      <c r="J3" s="8"/>
      <c r="K3" s="9"/>
    </row>
    <row r="4" customFormat="false" ht="36.75" hidden="false" customHeight="true" outlineLevel="0" collapsed="false">
      <c r="B4" s="10" t="s">
        <v>10</v>
      </c>
      <c r="C4" s="11" t="s">
        <v>11</v>
      </c>
      <c r="D4" s="11" t="s">
        <v>12</v>
      </c>
      <c r="F4" s="12" t="n">
        <v>1</v>
      </c>
      <c r="G4" s="13" t="n">
        <v>0.2</v>
      </c>
      <c r="H4" s="13" t="n">
        <f aca="false">7.5+(1-1/G4)*7.5</f>
        <v>-22.5</v>
      </c>
      <c r="I4" s="13" t="n">
        <v>8</v>
      </c>
      <c r="J4" s="13" t="n">
        <v>0</v>
      </c>
      <c r="K4" s="13" t="n">
        <f aca="false">15-J4</f>
        <v>15</v>
      </c>
    </row>
    <row r="5" customFormat="false" ht="26.85" hidden="false" customHeight="false" outlineLevel="0" collapsed="false">
      <c r="B5" s="10" t="s">
        <v>13</v>
      </c>
      <c r="C5" s="11" t="s">
        <v>14</v>
      </c>
      <c r="D5" s="11" t="s">
        <v>15</v>
      </c>
      <c r="F5" s="12" t="n">
        <v>2</v>
      </c>
      <c r="G5" s="13" t="n">
        <v>0.6</v>
      </c>
      <c r="H5" s="13" t="n">
        <f aca="false">7.5+(1-1/G5)*7.5</f>
        <v>2.5</v>
      </c>
      <c r="I5" s="13" t="n">
        <v>8</v>
      </c>
      <c r="J5" s="13" t="n">
        <f aca="false">MAX(H5,I5)</f>
        <v>8</v>
      </c>
      <c r="K5" s="13" t="n">
        <f aca="false">15-J5</f>
        <v>7</v>
      </c>
    </row>
    <row r="6" customFormat="false" ht="26.85" hidden="false" customHeight="false" outlineLevel="0" collapsed="false">
      <c r="B6" s="10" t="s">
        <v>16</v>
      </c>
      <c r="C6" s="11" t="s">
        <v>17</v>
      </c>
      <c r="D6" s="11" t="s">
        <v>18</v>
      </c>
      <c r="F6" s="12" t="n">
        <v>3</v>
      </c>
      <c r="G6" s="14" t="n">
        <v>1</v>
      </c>
      <c r="H6" s="13" t="n">
        <f aca="false">7.5+(1-1/G6)*7.5</f>
        <v>7.5</v>
      </c>
      <c r="I6" s="13" t="n">
        <v>8</v>
      </c>
      <c r="J6" s="13" t="n">
        <f aca="false">MAX(H6,I6)</f>
        <v>8</v>
      </c>
      <c r="K6" s="13" t="n">
        <f aca="false">15-J6</f>
        <v>7</v>
      </c>
    </row>
    <row r="7" customFormat="false" ht="17.35" hidden="false" customHeight="false" outlineLevel="0" collapsed="false">
      <c r="B7" s="10" t="s">
        <v>19</v>
      </c>
      <c r="C7" s="11" t="s">
        <v>20</v>
      </c>
      <c r="D7" s="11" t="s">
        <v>21</v>
      </c>
      <c r="F7" s="12" t="n">
        <v>4</v>
      </c>
      <c r="G7" s="14" t="n">
        <v>1.5</v>
      </c>
      <c r="H7" s="13" t="n">
        <f aca="false">7.5+(1-1/G7)*7.5</f>
        <v>10</v>
      </c>
      <c r="I7" s="13" t="n">
        <v>8</v>
      </c>
      <c r="J7" s="13" t="n">
        <f aca="false">MAX(H7,I7)</f>
        <v>10</v>
      </c>
      <c r="K7" s="13" t="n">
        <f aca="false">15-J7</f>
        <v>5</v>
      </c>
    </row>
    <row r="8" customFormat="false" ht="36" hidden="false" customHeight="true" outlineLevel="0" collapsed="false">
      <c r="B8" s="10" t="s">
        <v>9</v>
      </c>
      <c r="C8" s="15" t="s">
        <v>22</v>
      </c>
      <c r="D8" s="10" t="s">
        <v>23</v>
      </c>
      <c r="F8" s="12" t="n">
        <v>5</v>
      </c>
      <c r="G8" s="14" t="n">
        <v>2</v>
      </c>
      <c r="H8" s="13" t="n">
        <f aca="false">7.5+(1-1/G8)*7.5</f>
        <v>11.25</v>
      </c>
      <c r="I8" s="13" t="n">
        <v>8</v>
      </c>
      <c r="J8" s="13" t="n">
        <f aca="false">MAX(H8,I8)</f>
        <v>11.25</v>
      </c>
      <c r="K8" s="13" t="n">
        <f aca="false">15-J8</f>
        <v>3.75</v>
      </c>
    </row>
    <row r="9" customFormat="false" ht="36" hidden="false" customHeight="true" outlineLevel="0" collapsed="false">
      <c r="B9" s="10" t="s">
        <v>24</v>
      </c>
      <c r="C9" s="16" t="s">
        <v>25</v>
      </c>
      <c r="D9" s="10" t="s">
        <v>26</v>
      </c>
      <c r="F9" s="12" t="n">
        <v>6</v>
      </c>
      <c r="G9" s="14" t="n">
        <v>2.5</v>
      </c>
      <c r="H9" s="13" t="n">
        <f aca="false">7.5+(1-1/G9)*7.5</f>
        <v>12</v>
      </c>
      <c r="I9" s="13" t="n">
        <v>8</v>
      </c>
      <c r="J9" s="13" t="n">
        <f aca="false">MAX(H9,I9)</f>
        <v>12</v>
      </c>
      <c r="K9" s="13" t="n">
        <f aca="false">15-J9</f>
        <v>3</v>
      </c>
    </row>
    <row r="10" customFormat="false" ht="36" hidden="false" customHeight="true" outlineLevel="0" collapsed="false">
      <c r="B10" s="10" t="s">
        <v>27</v>
      </c>
      <c r="C10" s="16" t="s">
        <v>28</v>
      </c>
      <c r="D10" s="10" t="s">
        <v>29</v>
      </c>
    </row>
    <row r="11" customFormat="false" ht="18.65" hidden="false" customHeight="false" outlineLevel="0" collapsed="false">
      <c r="B11" s="17" t="s">
        <v>30</v>
      </c>
      <c r="C11" s="11" t="s">
        <v>31</v>
      </c>
      <c r="D11" s="17" t="s">
        <v>32</v>
      </c>
    </row>
    <row r="12" customFormat="false" ht="45" hidden="false" customHeight="true" outlineLevel="0" collapsed="false">
      <c r="B12" s="10" t="s">
        <v>33</v>
      </c>
      <c r="C12" s="11" t="s">
        <v>34</v>
      </c>
      <c r="D12" s="10" t="s">
        <v>35</v>
      </c>
    </row>
    <row r="13" customFormat="false" ht="36" hidden="false" customHeight="true" outlineLevel="0" collapsed="false">
      <c r="B13" s="18"/>
      <c r="C13" s="11" t="s">
        <v>36</v>
      </c>
      <c r="D13" s="11" t="s">
        <v>37</v>
      </c>
    </row>
    <row r="21" customFormat="false" ht="21" hidden="false" customHeight="true" outlineLevel="0" collapsed="false">
      <c r="B21" s="19" t="s">
        <v>38</v>
      </c>
      <c r="C21" s="19"/>
    </row>
  </sheetData>
  <sheetProtection sheet="true" objects="true" scenarios="true"/>
  <mergeCells count="1">
    <mergeCell ref="B21:C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D46" activeCellId="0" sqref="D46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3" min="3" style="20" width="84.67"/>
    <col collapsed="false" customWidth="true" hidden="false" outlineLevel="0" max="4" min="4" style="0" width="16.56"/>
    <col collapsed="false" customWidth="true" hidden="false" outlineLevel="0" max="5" min="5" style="0" width="35.44"/>
  </cols>
  <sheetData>
    <row r="1" customFormat="false" ht="17.35" hidden="false" customHeight="false" outlineLevel="0" collapsed="false">
      <c r="B1" s="21" t="s">
        <v>39</v>
      </c>
      <c r="C1" s="21"/>
      <c r="D1" s="21"/>
      <c r="E1" s="21"/>
    </row>
    <row r="2" customFormat="false" ht="33" hidden="false" customHeight="true" outlineLevel="0" collapsed="false">
      <c r="A2" s="22" t="s">
        <v>40</v>
      </c>
      <c r="B2" s="22"/>
      <c r="C2" s="22"/>
      <c r="D2" s="22"/>
      <c r="E2" s="23"/>
      <c r="F2" s="24"/>
      <c r="G2" s="24"/>
      <c r="H2" s="24"/>
      <c r="I2" s="24"/>
      <c r="J2" s="24"/>
      <c r="K2" s="24"/>
      <c r="L2" s="24"/>
      <c r="M2" s="24"/>
      <c r="N2" s="24"/>
    </row>
    <row r="3" customFormat="false" ht="31.5" hidden="false" customHeight="true" outlineLevel="0" collapsed="false">
      <c r="C3" s="25" t="s">
        <v>41</v>
      </c>
      <c r="D3" s="25"/>
      <c r="E3" s="26" t="s">
        <v>42</v>
      </c>
    </row>
    <row r="4" customFormat="false" ht="32.8" hidden="false" customHeight="false" outlineLevel="0" collapsed="false">
      <c r="B4" s="5" t="s">
        <v>8</v>
      </c>
      <c r="C4" s="5" t="s">
        <v>43</v>
      </c>
      <c r="D4" s="5" t="s">
        <v>44</v>
      </c>
      <c r="E4" s="5" t="s">
        <v>45</v>
      </c>
    </row>
    <row r="5" customFormat="false" ht="49.5" hidden="false" customHeight="true" outlineLevel="0" collapsed="false">
      <c r="B5" s="5" t="n">
        <v>1</v>
      </c>
      <c r="C5" s="27" t="s">
        <v>46</v>
      </c>
      <c r="D5" s="23" t="n">
        <v>7</v>
      </c>
      <c r="E5" s="28" t="str">
        <f aca="false">IF(D5&lt;6.5,"Введите значение большее, либо равное 6,5",IF(D5&gt;12,"Введите значение меньшее, либо равное 12","Ответ принят"))</f>
        <v>Ответ принят</v>
      </c>
    </row>
    <row r="6" customFormat="false" ht="49.5" hidden="false" customHeight="true" outlineLevel="0" collapsed="false">
      <c r="B6" s="5" t="n">
        <v>2</v>
      </c>
      <c r="C6" s="29" t="s">
        <v>47</v>
      </c>
      <c r="D6" s="23" t="n">
        <v>0.5</v>
      </c>
      <c r="E6" s="28" t="str">
        <f aca="false">IF(D6&lt;0.1,"Введите значение большее, либо равное 0,1",IF(D6&gt;1,"Введите значение меньшее, либо равное 1","Ответ принят"))</f>
        <v>Ответ принят</v>
      </c>
    </row>
    <row r="7" customFormat="false" ht="49.5" hidden="false" customHeight="true" outlineLevel="0" collapsed="false">
      <c r="B7" s="5" t="n">
        <v>3</v>
      </c>
      <c r="C7" s="29" t="s">
        <v>48</v>
      </c>
      <c r="D7" s="23" t="n">
        <v>0.5</v>
      </c>
      <c r="E7" s="28" t="str">
        <f aca="false">IF(D7&lt;0.1,"Введите значение большее, либо равное 0,1",IF(D7&gt;1,"Введите значение меньшее, либо равное 1","Ответ принят"))</f>
        <v>Ответ принят</v>
      </c>
    </row>
    <row r="8" customFormat="false" ht="49.5" hidden="false" customHeight="true" outlineLevel="0" collapsed="false">
      <c r="B8" s="5" t="n">
        <v>4</v>
      </c>
      <c r="C8" s="29" t="s">
        <v>49</v>
      </c>
      <c r="D8" s="23" t="n">
        <v>0.5</v>
      </c>
      <c r="E8" s="28" t="str">
        <f aca="false">IF(D8&lt;0.1,"Введите значение большее, либо равное 0,1",IF(D8&gt;0.5,"Введите значение меньшее, либо равное 0,5","Ответ принят"))</f>
        <v>Ответ принят</v>
      </c>
    </row>
    <row r="9" customFormat="false" ht="49.5" hidden="false" customHeight="true" outlineLevel="0" collapsed="false">
      <c r="B9" s="5" t="n">
        <v>5</v>
      </c>
      <c r="C9" s="29" t="s">
        <v>50</v>
      </c>
      <c r="D9" s="23" t="n">
        <v>0.5</v>
      </c>
      <c r="E9" s="28" t="str">
        <f aca="false">IF(D9&lt;0.1,"Введите значение большее, либо равное 0,1",IF(D9&gt;0.5,"Введите значение меньшее, либо равное 0,5","Ответ принят"))</f>
        <v>Ответ принят</v>
      </c>
    </row>
    <row r="10" customFormat="false" ht="49.5" hidden="false" customHeight="true" outlineLevel="0" collapsed="false">
      <c r="B10" s="5" t="n">
        <v>6</v>
      </c>
      <c r="C10" s="29" t="s">
        <v>51</v>
      </c>
      <c r="D10" s="23" t="n">
        <v>0.2</v>
      </c>
      <c r="E10" s="28" t="str">
        <f aca="false">IF(D10&lt;0.1,"Введите значение большее, либо равное 0,1",IF(D10&gt;0.5,"Введите значение меньшее, либо равное 0,5","Ответ принят"))</f>
        <v>Ответ принят</v>
      </c>
    </row>
    <row r="11" customFormat="false" ht="49.5" hidden="false" customHeight="true" outlineLevel="0" collapsed="false">
      <c r="B11" s="5" t="n">
        <v>7</v>
      </c>
      <c r="C11" s="29" t="s">
        <v>52</v>
      </c>
      <c r="D11" s="23" t="n">
        <v>0.2</v>
      </c>
      <c r="E11" s="28" t="str">
        <f aca="false">IF(D11&lt;0,"Введите значение большее, либо равное 0",IF(D11&gt;1,"Введите значение меньшее, либо равное 1","Ответ принят"))</f>
        <v>Ответ принят</v>
      </c>
    </row>
    <row r="13" customFormat="false" ht="17.35" hidden="false" customHeight="false" outlineLevel="0" collapsed="false">
      <c r="B13" s="5" t="n">
        <v>8</v>
      </c>
      <c r="C13" s="30" t="s">
        <v>53</v>
      </c>
      <c r="D13" s="31" t="n">
        <f aca="false">SUM(D5:D11)</f>
        <v>9.4</v>
      </c>
      <c r="E13" s="32" t="s">
        <v>54</v>
      </c>
    </row>
    <row r="14" customFormat="false" ht="17.35" hidden="false" customHeight="false" outlineLevel="0" collapsed="false">
      <c r="B14" s="5" t="n">
        <v>9</v>
      </c>
      <c r="C14" s="29" t="s">
        <v>55</v>
      </c>
      <c r="D14" s="31" t="n">
        <f aca="false">24-D13</f>
        <v>14.6</v>
      </c>
      <c r="E14" s="32" t="s">
        <v>54</v>
      </c>
    </row>
    <row r="15" customFormat="false" ht="17.35" hidden="false" customHeight="false" outlineLevel="0" collapsed="false">
      <c r="A15" s="33"/>
      <c r="B15" s="34"/>
      <c r="C15" s="35"/>
      <c r="D15" s="36"/>
      <c r="E15" s="36"/>
    </row>
    <row r="16" customFormat="false" ht="19.7" hidden="false" customHeight="false" outlineLevel="0" collapsed="false">
      <c r="A16" s="33"/>
      <c r="B16" s="34"/>
      <c r="C16" s="37" t="s">
        <v>56</v>
      </c>
      <c r="D16" s="36"/>
      <c r="E16" s="36"/>
    </row>
    <row r="17" customFormat="false" ht="15" hidden="false" customHeight="true" outlineLevel="0" collapsed="false">
      <c r="A17" s="33"/>
      <c r="B17" s="33"/>
      <c r="C17" s="38" t="str">
        <f aca="false">IF(D14&gt;16,"Вы подобны Наполеону, который спал не более 4 часов. Может измените свои ответы?",IF(D14&gt;14,"Вы потенциальный трудоголик. Успехов!",IF(D14&gt;12.5,"У Вас есть еще возможность повысить потенциал своей трудовой активности","У Вас значение  потенциала трудовой активности меньше допустимого. Вы можете скорректировать данные или прекратить тестирование")))</f>
        <v>Вы потенциальный трудоголик. Успехов!</v>
      </c>
      <c r="D17" s="33"/>
      <c r="E17" s="33"/>
    </row>
    <row r="18" customFormat="false" ht="15" hidden="false" customHeight="true" outlineLevel="0" collapsed="false">
      <c r="A18" s="33"/>
      <c r="B18" s="33"/>
      <c r="C18" s="38"/>
      <c r="D18" s="33"/>
      <c r="E18" s="33"/>
    </row>
    <row r="19" customFormat="false" ht="15" hidden="false" customHeight="true" outlineLevel="0" collapsed="false">
      <c r="A19" s="33"/>
      <c r="B19" s="33"/>
      <c r="C19" s="38"/>
      <c r="D19" s="33"/>
      <c r="E19" s="33"/>
    </row>
    <row r="20" customFormat="false" ht="14.25" hidden="false" customHeight="false" outlineLevel="0" collapsed="false">
      <c r="C20" s="38"/>
    </row>
    <row r="22" customFormat="false" ht="19.5" hidden="false" customHeight="true" outlineLevel="0" collapsed="false">
      <c r="B22" s="25" t="s">
        <v>57</v>
      </c>
      <c r="C22" s="25"/>
      <c r="D22" s="25"/>
      <c r="E22" s="25" t="s">
        <v>58</v>
      </c>
    </row>
    <row r="23" customFormat="false" ht="32.8" hidden="false" customHeight="false" outlineLevel="0" collapsed="false">
      <c r="B23" s="5" t="s">
        <v>8</v>
      </c>
      <c r="C23" s="5" t="s">
        <v>43</v>
      </c>
      <c r="D23" s="5" t="s">
        <v>44</v>
      </c>
      <c r="E23" s="5" t="s">
        <v>45</v>
      </c>
    </row>
    <row r="24" customFormat="false" ht="38.25" hidden="false" customHeight="true" outlineLevel="0" collapsed="false">
      <c r="B24" s="5" t="n">
        <v>1</v>
      </c>
      <c r="C24" s="27" t="s">
        <v>59</v>
      </c>
      <c r="D24" s="39" t="n">
        <v>1</v>
      </c>
      <c r="E24" s="40" t="str">
        <f aca="false">IF(D24=1,"Ответ принят",IF(D24=0,"Ответ принят","Введен некорректный ответ"))</f>
        <v>Ответ принят</v>
      </c>
    </row>
    <row r="25" customFormat="false" ht="17.35" hidden="false" customHeight="false" outlineLevel="0" collapsed="false">
      <c r="B25" s="5" t="n">
        <v>2</v>
      </c>
      <c r="C25" s="27" t="s">
        <v>60</v>
      </c>
      <c r="D25" s="23" t="n">
        <v>8</v>
      </c>
      <c r="E25" s="40" t="str">
        <f aca="false">IF(AND(D24=1,D25&gt;=1,D25&lt;=10),"Ответ принят",IF(D24=0,"Ответ не требуется","Введен некорректный ответ"))</f>
        <v>Ответ принят</v>
      </c>
    </row>
    <row r="26" customFormat="false" ht="48.5" hidden="false" customHeight="false" outlineLevel="0" collapsed="false">
      <c r="B26" s="5" t="n">
        <v>3</v>
      </c>
      <c r="C26" s="27" t="s">
        <v>61</v>
      </c>
      <c r="D26" s="23" t="n">
        <v>0.1</v>
      </c>
      <c r="E26" s="40" t="str">
        <f aca="false">IF(AND(D24=1,D26&gt;=0,D26&lt;=5),"Ответ принят",IF(D24=0,"Ответ не требуется","Введен некорректный ответ"))</f>
        <v>Ответ принят</v>
      </c>
    </row>
    <row r="27" customFormat="false" ht="17.35" hidden="false" customHeight="false" outlineLevel="0" collapsed="false">
      <c r="B27" s="5" t="n">
        <v>4</v>
      </c>
      <c r="C27" s="27" t="s">
        <v>62</v>
      </c>
      <c r="D27" s="31" t="n">
        <f aca="false">IF(D24=1,IF((D25+D26+0.5)&lt;D29,(D25+D26),"Не корректно"),0)</f>
        <v>8.1</v>
      </c>
      <c r="E27" s="32" t="s">
        <v>63</v>
      </c>
    </row>
    <row r="29" customFormat="false" ht="63.75" hidden="false" customHeight="true" outlineLevel="0" collapsed="false">
      <c r="B29" s="5" t="n">
        <v>5</v>
      </c>
      <c r="C29" s="41" t="s">
        <v>64</v>
      </c>
      <c r="D29" s="42" t="n">
        <f aca="false">D14</f>
        <v>14.6</v>
      </c>
      <c r="E29" s="32" t="s">
        <v>54</v>
      </c>
    </row>
    <row r="31" customFormat="false" ht="17.35" hidden="false" customHeight="true" outlineLevel="0" collapsed="false">
      <c r="C31" s="25" t="s">
        <v>65</v>
      </c>
      <c r="D31" s="25"/>
      <c r="E31" s="25" t="s">
        <v>66</v>
      </c>
    </row>
    <row r="32" customFormat="false" ht="38.25" hidden="false" customHeight="true" outlineLevel="0" collapsed="false">
      <c r="B32" s="5" t="s">
        <v>8</v>
      </c>
      <c r="C32" s="5" t="s">
        <v>43</v>
      </c>
      <c r="D32" s="5" t="s">
        <v>44</v>
      </c>
      <c r="E32" s="5" t="s">
        <v>45</v>
      </c>
    </row>
    <row r="33" customFormat="false" ht="38.25" hidden="false" customHeight="true" outlineLevel="0" collapsed="false">
      <c r="B33" s="5" t="n">
        <v>1</v>
      </c>
      <c r="C33" s="43" t="s">
        <v>67</v>
      </c>
      <c r="D33" s="44" t="n">
        <v>100</v>
      </c>
      <c r="E33" s="40" t="str">
        <f aca="false">IF(AND(D33&gt;=0.5*$D$37,D33&lt;=1.5*$D$37),"Ответ принят","Хороший ресурс!")</f>
        <v>Ответ принят</v>
      </c>
    </row>
    <row r="34" customFormat="false" ht="32.8" hidden="false" customHeight="false" outlineLevel="0" collapsed="false">
      <c r="B34" s="5" t="n">
        <v>2</v>
      </c>
      <c r="C34" s="27" t="s">
        <v>68</v>
      </c>
      <c r="D34" s="44" t="n">
        <v>0</v>
      </c>
      <c r="E34" s="40" t="str">
        <f aca="false">IF(AND(D34&gt;=0*$D$37,D34&lt;=2*$D$37),"Ответ принят","Введен некорректный ответ")</f>
        <v>Ответ принят</v>
      </c>
    </row>
    <row r="35" customFormat="false" ht="17.35" hidden="false" customHeight="false" outlineLevel="0" collapsed="false">
      <c r="B35" s="5" t="n">
        <v>3</v>
      </c>
      <c r="C35" s="27" t="s">
        <v>69</v>
      </c>
      <c r="D35" s="44" t="n">
        <v>0</v>
      </c>
      <c r="E35" s="40" t="str">
        <f aca="false">IF(AND(D35&gt;=0*$D$37,D35&lt;=2*$D$37),"Ответ принят","Введен некорректный ответ")</f>
        <v>Ответ принят</v>
      </c>
    </row>
    <row r="36" customFormat="false" ht="17.35" hidden="false" customHeight="false" outlineLevel="0" collapsed="false">
      <c r="B36" s="5" t="n">
        <v>4</v>
      </c>
      <c r="C36" s="27" t="s">
        <v>70</v>
      </c>
      <c r="D36" s="44" t="n">
        <v>0</v>
      </c>
      <c r="E36" s="40" t="str">
        <f aca="false">IF(AND(D36&gt;=0*$D$37,D36&lt;=2*$D$37),"Ответ принят","Введен некорректный ответ")</f>
        <v>Ответ принят</v>
      </c>
    </row>
    <row r="37" s="33" customFormat="true" ht="17.35" hidden="false" customHeight="false" outlineLevel="0" collapsed="false">
      <c r="B37" s="5" t="n">
        <v>5</v>
      </c>
      <c r="C37" s="45" t="s">
        <v>71</v>
      </c>
      <c r="D37" s="46" t="n">
        <v>100</v>
      </c>
      <c r="E37" s="32" t="s">
        <v>72</v>
      </c>
    </row>
    <row r="38" customFormat="false" ht="17.35" hidden="false" customHeight="false" outlineLevel="0" collapsed="false">
      <c r="B38" s="5" t="n">
        <v>6</v>
      </c>
      <c r="C38" s="27" t="s">
        <v>73</v>
      </c>
      <c r="D38" s="5" t="n">
        <f aca="false">D33-SUM(D34:D36)</f>
        <v>100</v>
      </c>
      <c r="E38" s="40" t="str">
        <f aca="false">IF(AND(D38&gt;=0.8*$D$37,D38&lt;=2.5*$D$37),"Ответы приняты","Ответы требуют коректировки")</f>
        <v>Ответы приняты</v>
      </c>
    </row>
    <row r="39" customFormat="false" ht="17.35" hidden="false" customHeight="false" outlineLevel="0" collapsed="false">
      <c r="B39" s="5" t="n">
        <v>4</v>
      </c>
      <c r="C39" s="47" t="s">
        <v>74</v>
      </c>
      <c r="D39" s="48" t="n">
        <f aca="false">D38/D37</f>
        <v>1</v>
      </c>
      <c r="E39" s="32" t="s">
        <v>54</v>
      </c>
    </row>
    <row r="40" customFormat="false" ht="14.25" hidden="false" customHeight="false" outlineLevel="0" collapsed="false">
      <c r="B40" s="33"/>
      <c r="C40" s="35"/>
      <c r="D40" s="33"/>
      <c r="E40" s="33"/>
    </row>
    <row r="41" customFormat="false" ht="19.5" hidden="false" customHeight="true" outlineLevel="0" collapsed="false">
      <c r="B41" s="25" t="s">
        <v>75</v>
      </c>
      <c r="C41" s="25"/>
      <c r="D41" s="25"/>
      <c r="E41" s="25" t="s">
        <v>76</v>
      </c>
    </row>
    <row r="42" customFormat="false" ht="32.8" hidden="false" customHeight="false" outlineLevel="0" collapsed="false">
      <c r="B42" s="5" t="s">
        <v>8</v>
      </c>
      <c r="C42" s="5" t="s">
        <v>43</v>
      </c>
      <c r="D42" s="5" t="s">
        <v>44</v>
      </c>
      <c r="E42" s="5" t="s">
        <v>45</v>
      </c>
    </row>
    <row r="43" customFormat="false" ht="32.8" hidden="false" customHeight="false" outlineLevel="0" collapsed="false">
      <c r="B43" s="5" t="n">
        <v>1</v>
      </c>
      <c r="C43" s="43" t="s">
        <v>77</v>
      </c>
      <c r="D43" s="44" t="n">
        <v>8</v>
      </c>
      <c r="E43" s="40" t="str">
        <f aca="false">IF(AND(D43&gt;=0,D43&lt;=0.5*$D$37),"Ответ принят","Не корректный ответ!")</f>
        <v>Ответ принят</v>
      </c>
    </row>
    <row r="44" customFormat="false" ht="32.8" hidden="false" customHeight="false" outlineLevel="0" collapsed="false">
      <c r="B44" s="5" t="n">
        <v>2</v>
      </c>
      <c r="C44" s="27" t="s">
        <v>78</v>
      </c>
      <c r="D44" s="44" t="n">
        <v>-0.5</v>
      </c>
      <c r="E44" s="40" t="str">
        <f aca="false">IF(AND(D44&lt;=0,D44&gt;=-$D$37),"Ответ принят","Введен некорректный ответ")</f>
        <v>Ответ принят</v>
      </c>
    </row>
    <row r="45" customFormat="false" ht="38.25" hidden="false" customHeight="true" outlineLevel="0" collapsed="false">
      <c r="B45" s="5" t="n">
        <v>3</v>
      </c>
      <c r="C45" s="27" t="s">
        <v>79</v>
      </c>
      <c r="D45" s="44" t="n">
        <v>4</v>
      </c>
      <c r="E45" s="40" t="str">
        <f aca="false">IF(AND(D45&gt;=-0.5*$D$37,D45&lt;=0.5*$D$37),"Ответ принят","Введен некорректный ответ")</f>
        <v>Ответ принят</v>
      </c>
    </row>
    <row r="46" customFormat="false" ht="36" hidden="false" customHeight="true" outlineLevel="0" collapsed="false">
      <c r="B46" s="5" t="n">
        <v>4</v>
      </c>
      <c r="C46" s="27" t="s">
        <v>80</v>
      </c>
      <c r="D46" s="44" t="n">
        <v>0</v>
      </c>
      <c r="E46" s="40" t="str">
        <f aca="false">IF(AND(D46&gt;=-0.5*$D$37,D46&lt;=0.5*$D$37),"Ответ принят","Введен некорректный ответ")</f>
        <v>Ответ принят</v>
      </c>
    </row>
    <row r="47" customFormat="false" ht="17.35" hidden="false" customHeight="false" outlineLevel="0" collapsed="false">
      <c r="B47" s="5" t="n">
        <v>5</v>
      </c>
      <c r="C47" s="45" t="s">
        <v>81</v>
      </c>
      <c r="D47" s="49" t="n">
        <f aca="false">D37</f>
        <v>100</v>
      </c>
      <c r="E47" s="32" t="s">
        <v>82</v>
      </c>
    </row>
    <row r="48" customFormat="false" ht="17.35" hidden="false" customHeight="false" outlineLevel="0" collapsed="false">
      <c r="B48" s="5" t="n">
        <v>6</v>
      </c>
      <c r="C48" s="27" t="s">
        <v>83</v>
      </c>
      <c r="D48" s="42" t="n">
        <f aca="false">D43+SUM(D44:D46)</f>
        <v>11.5</v>
      </c>
      <c r="E48" s="40" t="str">
        <f aca="false">IF(AND(D48&gt;=-0.8*$D$37,D48&lt;=0.8*$D$37),"Ответы приняты","Ответы требуют коректировки")</f>
        <v>Ответы приняты</v>
      </c>
    </row>
    <row r="49" customFormat="false" ht="17.35" hidden="false" customHeight="false" outlineLevel="0" collapsed="false">
      <c r="B49" s="5" t="n">
        <v>4</v>
      </c>
      <c r="C49" s="47" t="s">
        <v>84</v>
      </c>
      <c r="D49" s="48" t="n">
        <f aca="false">D48/D47</f>
        <v>0.115</v>
      </c>
      <c r="E49" s="32" t="s">
        <v>54</v>
      </c>
    </row>
    <row r="50" customFormat="false" ht="24" hidden="false" customHeight="true" outlineLevel="0" collapsed="false">
      <c r="B50" s="5" t="n">
        <v>4</v>
      </c>
      <c r="C50" s="47" t="s">
        <v>85</v>
      </c>
      <c r="D50" s="48" t="n">
        <f aca="false">D49+D39</f>
        <v>1.115</v>
      </c>
      <c r="E50" s="32" t="s">
        <v>54</v>
      </c>
    </row>
  </sheetData>
  <sheetProtection sheet="true" objects="true" scenarios="true"/>
  <mergeCells count="7">
    <mergeCell ref="B1:E1"/>
    <mergeCell ref="A2:D2"/>
    <mergeCell ref="C3:D3"/>
    <mergeCell ref="C17:C20"/>
    <mergeCell ref="B22:D22"/>
    <mergeCell ref="C31:D31"/>
    <mergeCell ref="B41:D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5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K12" activeCellId="0" sqref="K12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2" min="2" style="0" width="14.67"/>
    <col collapsed="false" customWidth="true" hidden="false" outlineLevel="0" max="3" min="3" style="0" width="54.56"/>
    <col collapsed="false" customWidth="true" hidden="false" outlineLevel="0" max="4" min="4" style="0" width="17.67"/>
    <col collapsed="false" customWidth="true" hidden="false" outlineLevel="0" max="5" min="5" style="0" width="32.88"/>
    <col collapsed="false" customWidth="true" hidden="false" outlineLevel="0" max="11" min="11" style="0" width="10.88"/>
  </cols>
  <sheetData>
    <row r="1" customFormat="false" ht="17.35" hidden="false" customHeight="false" outlineLevel="0" collapsed="false">
      <c r="B1" s="21" t="s">
        <v>0</v>
      </c>
      <c r="C1" s="21"/>
      <c r="D1" s="21"/>
      <c r="E1" s="21"/>
    </row>
    <row r="2" customFormat="false" ht="17.35" hidden="false" customHeight="false" outlineLevel="0" collapsed="false">
      <c r="B2" s="50"/>
      <c r="C2" s="50"/>
      <c r="D2" s="50"/>
      <c r="E2" s="51"/>
      <c r="F2" s="51"/>
      <c r="H2" s="52" t="s">
        <v>86</v>
      </c>
      <c r="I2" s="53"/>
      <c r="J2" s="53"/>
      <c r="K2" s="54"/>
    </row>
    <row r="3" customFormat="false" ht="31.5" hidden="false" customHeight="true" outlineLevel="0" collapsed="false">
      <c r="B3" s="55" t="s">
        <v>87</v>
      </c>
      <c r="C3" s="56"/>
      <c r="D3" s="56"/>
      <c r="E3" s="57" t="s">
        <v>88</v>
      </c>
      <c r="H3" s="58" t="s">
        <v>89</v>
      </c>
      <c r="I3" s="59"/>
      <c r="J3" s="59"/>
      <c r="K3" s="59"/>
    </row>
    <row r="4" customFormat="false" ht="15" hidden="false" customHeight="false" outlineLevel="0" collapsed="false">
      <c r="B4" s="4" t="s">
        <v>5</v>
      </c>
      <c r="C4" s="4" t="s">
        <v>90</v>
      </c>
      <c r="D4" s="4" t="s">
        <v>91</v>
      </c>
      <c r="E4" s="4" t="s">
        <v>92</v>
      </c>
    </row>
    <row r="5" customFormat="false" ht="36" hidden="false" customHeight="true" outlineLevel="0" collapsed="false">
      <c r="B5" s="10" t="s">
        <v>13</v>
      </c>
      <c r="C5" s="60" t="str">
        <f aca="false">'3-Тест ДЛЯ ВАС'!C13</f>
        <v>Сумма обязательных затрат времени в среднем за рабочие дни</v>
      </c>
      <c r="D5" s="61" t="n">
        <f aca="false">'3-Тест ДЛЯ ВАС'!D13</f>
        <v>9.4</v>
      </c>
      <c r="E5" s="62" t="str">
        <f aca="false">IF(D5&lt;10,"У Вас хороший потенциал трудовой активности","Может больше работать и больше отдыхать?")</f>
        <v>У Вас хороший потенциал трудовой активности</v>
      </c>
      <c r="G5" s="63" t="s">
        <v>93</v>
      </c>
      <c r="H5" s="63"/>
      <c r="I5" s="64" t="s">
        <v>94</v>
      </c>
      <c r="J5" s="64"/>
      <c r="K5" s="64"/>
    </row>
    <row r="6" customFormat="false" ht="37.5" hidden="false" customHeight="true" outlineLevel="0" collapsed="false">
      <c r="B6" s="10" t="s">
        <v>16</v>
      </c>
      <c r="C6" s="60" t="str">
        <f aca="false">'3-Тест ДЛЯ ВАС'!C14</f>
        <v>Tp  - Суммарная продолжительность рабочего и свободного времени</v>
      </c>
      <c r="D6" s="61" t="n">
        <f aca="false">'3-Тест ДЛЯ ВАС'!D14</f>
        <v>14.6</v>
      </c>
      <c r="E6" s="62" t="str">
        <f aca="false">IF(D6&lt;14,"У Вас низкий потенциал трудовой активности","Может меньше работать и больше отдыхать?")</f>
        <v>Может меньше работать и больше отдыхать?</v>
      </c>
      <c r="G6" s="65" t="s">
        <v>95</v>
      </c>
      <c r="H6" s="65"/>
      <c r="I6" s="64"/>
      <c r="J6" s="64"/>
      <c r="K6" s="64"/>
    </row>
    <row r="7" customFormat="false" ht="51" hidden="false" customHeight="true" outlineLevel="0" collapsed="false">
      <c r="B7" s="10" t="s">
        <v>9</v>
      </c>
      <c r="C7" s="60" t="s">
        <v>96</v>
      </c>
      <c r="D7" s="61" t="n">
        <f aca="false">'3-Тест ДЛЯ ВАС'!D50</f>
        <v>1.115</v>
      </c>
      <c r="E7" s="62" t="str">
        <f aca="false">IF(D7&lt;1,"Вы цените сводное время выше рабочего. Успехов в Ваших увлечениях","Успешного Вам карьерного роста")</f>
        <v>Успешного Вам карьерного роста</v>
      </c>
      <c r="G7" s="65" t="s">
        <v>97</v>
      </c>
      <c r="H7" s="65"/>
      <c r="I7" s="64" t="s">
        <v>98</v>
      </c>
      <c r="J7" s="64"/>
      <c r="K7" s="64"/>
    </row>
    <row r="8" customFormat="false" ht="35.25" hidden="false" customHeight="true" outlineLevel="0" collapsed="false">
      <c r="B8" s="18"/>
      <c r="C8" s="60" t="s">
        <v>99</v>
      </c>
      <c r="D8" s="61" t="n">
        <f aca="false">0.5</f>
        <v>0.5</v>
      </c>
      <c r="E8" s="62" t="str">
        <f aca="false">IF(D7&gt;0.5,IF(D7&lt;0.1,"Вы еще цените работу как многие работники", "У Вас высокая мотивация к труду"),"Что то не нормально в Вашем государстве!")</f>
        <v>У Вас высокая мотивация к труду</v>
      </c>
      <c r="G8" s="65" t="s">
        <v>100</v>
      </c>
      <c r="H8" s="65"/>
      <c r="I8" s="64" t="s">
        <v>98</v>
      </c>
      <c r="J8" s="64"/>
      <c r="K8" s="64"/>
    </row>
    <row r="9" customFormat="false" ht="45.75" hidden="false" customHeight="true" outlineLevel="0" collapsed="false">
      <c r="B9" s="17" t="s">
        <v>30</v>
      </c>
      <c r="C9" s="60" t="s">
        <v>101</v>
      </c>
      <c r="D9" s="61" t="n">
        <f aca="false">1/D6</f>
        <v>0.0684931506849315</v>
      </c>
      <c r="E9" s="62" t="str">
        <f aca="false">IF(D9&gt;0.125,"Рекомендуем Вам изменить данные таблицы 2.1","У Вас хороший потенциаал для  карьерного роста и хорошего отдыха")</f>
        <v>У Вас хороший потенциаал для  карьерного роста и хорошего отдыха</v>
      </c>
      <c r="G9" s="65" t="s">
        <v>102</v>
      </c>
      <c r="H9" s="65"/>
      <c r="I9" s="64" t="s">
        <v>94</v>
      </c>
      <c r="J9" s="64"/>
      <c r="K9" s="64"/>
    </row>
    <row r="10" customFormat="false" ht="37.5" hidden="false" customHeight="true" outlineLevel="0" collapsed="false">
      <c r="B10" s="10"/>
      <c r="C10" s="60" t="s">
        <v>103</v>
      </c>
      <c r="D10" s="61" t="n">
        <f aca="false">'3-Тест ДЛЯ ВАС'!D27</f>
        <v>8.1</v>
      </c>
      <c r="E10" s="62" t="str">
        <f aca="false">IF($D$10&lt;$D$11,"Рекомендуем Вам изменить данные таблицы 3.2","Ваш трудовой потенциал ограничен внешними условиями")</f>
        <v>Ваш трудовой потенциал ограничен внешними условиями</v>
      </c>
      <c r="I10" s="66"/>
      <c r="J10" s="66"/>
      <c r="K10" s="66"/>
    </row>
    <row r="11" customFormat="false" ht="50.25" hidden="false" customHeight="true" outlineLevel="0" collapsed="false">
      <c r="B11" s="18"/>
      <c r="C11" s="60" t="s">
        <v>104</v>
      </c>
      <c r="D11" s="61" t="n">
        <f aca="false">(1-1/(2*D7))*D6</f>
        <v>8.05291479820628</v>
      </c>
      <c r="E11" s="62" t="str">
        <f aca="false">IF(AND($D$11&gt;$D$10,D7&gt;D8), "Вы свободны в выборе нужного Вам решения","Вы не свободны в выборе рабочего времени. Выберите решение по вариантам 1 или 2")</f>
        <v>Вы не свободны в выборе рабочего времени. Выберите решение по вариантам 1 или 2</v>
      </c>
      <c r="G11" s="65" t="s">
        <v>105</v>
      </c>
      <c r="H11" s="65"/>
      <c r="I11" s="64" t="s">
        <v>94</v>
      </c>
      <c r="J11" s="64"/>
      <c r="K11" s="64"/>
    </row>
    <row r="12" customFormat="false" ht="57.75" hidden="false" customHeight="true" outlineLevel="0" collapsed="false">
      <c r="B12" s="18"/>
      <c r="C12" s="60" t="s">
        <v>106</v>
      </c>
      <c r="D12" s="67" t="n">
        <f aca="false">IF(D7&gt;D8,MAX(D10,D11),D10)</f>
        <v>8.1</v>
      </c>
      <c r="E12" s="62" t="str">
        <f aca="false">IF(D12&gt;8,IF(D12&gt;(D5-4),"Вы цените работу , наверное,  для Вас она многое значит", "Поздравляю, работа для Вас  - лучший отдых!"),"Рекомендуем Вам разобраться в ценностях жизни")</f>
        <v>Вы цените работу , наверное,  для Вас она многое значит</v>
      </c>
      <c r="I12" s="68" t="s">
        <v>107</v>
      </c>
      <c r="J12" s="66"/>
      <c r="K12" s="66"/>
    </row>
    <row r="13" customFormat="false" ht="53.25" hidden="false" customHeight="true" outlineLevel="0" collapsed="false">
      <c r="B13" s="18"/>
      <c r="C13" s="60" t="s">
        <v>108</v>
      </c>
      <c r="D13" s="67" t="n">
        <f aca="false">-D9*D7*D12*D12+(D7-1+D6*D9*D7)*D12+D6</f>
        <v>19.5523732876712</v>
      </c>
      <c r="E13" s="62" t="str">
        <f aca="false">IF(D13&gt;20,"Полезность Вашего выбора работы и отдыха выше среднего уровня","Есть возможность повысить пользу от работы и отдыха")</f>
        <v>Есть возможность повысить пользу от работы и отдыха</v>
      </c>
      <c r="F13" s="54" t="n">
        <f aca="false">-1/16*8*8+8+16</f>
        <v>20</v>
      </c>
      <c r="I13" s="66"/>
      <c r="J13" s="66"/>
      <c r="K13" s="66"/>
    </row>
    <row r="15" customFormat="false" ht="15" hidden="false" customHeight="false" outlineLevel="0" collapsed="false">
      <c r="F15" s="69" t="s">
        <v>109</v>
      </c>
      <c r="G15" s="70"/>
      <c r="H15" s="70"/>
      <c r="I15" s="70"/>
      <c r="J15" s="70"/>
      <c r="K15" s="70"/>
    </row>
    <row r="16" customFormat="false" ht="24.75" hidden="false" customHeight="true" outlineLevel="0" collapsed="false"/>
    <row r="20" customFormat="false" ht="14.25" hidden="false" customHeight="true" outlineLevel="0" collapsed="false"/>
    <row r="21" customFormat="false" ht="15" hidden="false" customHeight="false" outlineLevel="0" collapsed="false">
      <c r="C21" s="71" t="s">
        <v>110</v>
      </c>
      <c r="D21" s="71"/>
      <c r="E21" s="71"/>
    </row>
    <row r="25" customFormat="false" ht="14.25" hidden="false" customHeight="false" outlineLevel="0" collapsed="false">
      <c r="F25" s="72"/>
    </row>
  </sheetData>
  <sheetProtection sheet="true" objects="true" scenarios="true"/>
  <mergeCells count="15">
    <mergeCell ref="B1:E1"/>
    <mergeCell ref="B2:D2"/>
    <mergeCell ref="G5:H5"/>
    <mergeCell ref="I5:K5"/>
    <mergeCell ref="G6:H6"/>
    <mergeCell ref="I6:K6"/>
    <mergeCell ref="G7:H7"/>
    <mergeCell ref="I7:K7"/>
    <mergeCell ref="G8:H8"/>
    <mergeCell ref="I8:K8"/>
    <mergeCell ref="G9:H9"/>
    <mergeCell ref="I9:K9"/>
    <mergeCell ref="G11:H11"/>
    <mergeCell ref="I11:K11"/>
    <mergeCell ref="C21:E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2006-09-28T05:33:49Z</dcterms:created>
  <dc:creator/>
  <dc:description/>
  <dc:language>ru-RU</dc:language>
  <cp:lastModifiedBy/>
  <dcterms:modified xsi:type="dcterms:W3CDTF">2026-09-20T13:39:23Z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