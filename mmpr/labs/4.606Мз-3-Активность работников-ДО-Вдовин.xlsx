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lan\Downloads\"/>
    </mc:Choice>
  </mc:AlternateContent>
  <xr:revisionPtr revIDLastSave="0" documentId="13_ncr:1_{C860A60C-C3AD-41B2-AC14-E22CA64DCA18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Инд задание " sheetId="10" r:id="rId1"/>
    <sheet name="Расчет активности" sheetId="7" r:id="rId2"/>
    <sheet name="Диаграмма активности" sheetId="9" r:id="rId3"/>
  </sheets>
  <definedNames>
    <definedName name="solver_adj" localSheetId="1" hidden="1">'Расчет активности'!#REF!</definedName>
    <definedName name="solver_cvg" localSheetId="1" hidden="1">0.001</definedName>
    <definedName name="solver_drv" localSheetId="1" hidden="1">2</definedName>
    <definedName name="solver_est" localSheetId="1" hidden="1">2</definedName>
    <definedName name="solver_itr" localSheetId="1" hidden="1">100</definedName>
    <definedName name="solver_lhs1" localSheetId="1" hidden="1">'Расчет активности'!#REF!</definedName>
    <definedName name="solver_lhs2" localSheetId="1" hidden="1">'Расчет активности'!#REF!</definedName>
    <definedName name="solver_lhs3" localSheetId="1" hidden="1">'Расчет активности'!#REF!</definedName>
    <definedName name="solver_lhs4" localSheetId="1" hidden="1">'Расчет активности'!$F$5:$K$5</definedName>
    <definedName name="solver_lin" localSheetId="1" hidden="1">1</definedName>
    <definedName name="solver_neg" localSheetId="1" hidden="1">1</definedName>
    <definedName name="solver_num" localSheetId="1" hidden="1">2</definedName>
    <definedName name="solver_nwt" localSheetId="1" hidden="1">2</definedName>
    <definedName name="solver_opt" localSheetId="1" hidden="1">'Расчет активности'!#REF!</definedName>
    <definedName name="solver_pre" localSheetId="1" hidden="1">0.000001</definedName>
    <definedName name="solver_rel1" localSheetId="1" hidden="1">1</definedName>
    <definedName name="solver_rel2" localSheetId="1" hidden="1">2</definedName>
    <definedName name="solver_rel3" localSheetId="1" hidden="1">1</definedName>
    <definedName name="solver_rel4" localSheetId="1" hidden="1">1</definedName>
    <definedName name="solver_rhs1" localSheetId="1" hidden="1">1</definedName>
    <definedName name="solver_rhs2" localSheetId="1" hidden="1">1</definedName>
    <definedName name="solver_rhs3" localSheetId="1" hidden="1">1</definedName>
    <definedName name="solver_rhs4" localSheetId="1" hidden="1">'Расчет активности'!#REF!</definedName>
    <definedName name="solver_scl" localSheetId="1" hidden="1">2</definedName>
    <definedName name="solver_sho" localSheetId="1" hidden="1">2</definedName>
    <definedName name="solver_tim" localSheetId="1" hidden="1">100</definedName>
    <definedName name="solver_tol" localSheetId="1" hidden="1">0.05</definedName>
    <definedName name="solver_typ" localSheetId="1" hidden="1">2</definedName>
    <definedName name="solver_val" localSheetId="1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0" i="9" l="1"/>
  <c r="D41" i="9" l="1"/>
  <c r="H41" i="9" s="1"/>
  <c r="H40" i="9"/>
  <c r="F25" i="7"/>
  <c r="F28" i="7"/>
  <c r="F26" i="7"/>
  <c r="F30" i="7"/>
  <c r="K5" i="7" l="1"/>
  <c r="I21" i="7"/>
  <c r="I6" i="7"/>
  <c r="I25" i="7"/>
  <c r="A12" i="9" s="1"/>
  <c r="I27" i="7"/>
  <c r="A13" i="9" s="1"/>
  <c r="I29" i="7"/>
  <c r="I8" i="7"/>
  <c r="I10" i="7"/>
  <c r="I11" i="7"/>
  <c r="A5" i="9" s="1"/>
  <c r="I12" i="7"/>
  <c r="I13" i="7"/>
  <c r="I14" i="7"/>
  <c r="I15" i="7"/>
  <c r="A7" i="9" s="1"/>
  <c r="I31" i="7"/>
  <c r="A15" i="9" s="1"/>
  <c r="I32" i="7"/>
  <c r="I19" i="7"/>
  <c r="I23" i="7"/>
  <c r="I24" i="7"/>
  <c r="I26" i="7"/>
  <c r="I30" i="7"/>
  <c r="I16" i="7"/>
  <c r="I17" i="7"/>
  <c r="A8" i="9" s="1"/>
  <c r="I33" i="7"/>
  <c r="A16" i="9" s="1"/>
  <c r="I18" i="7"/>
  <c r="I34" i="7"/>
  <c r="I20" i="7"/>
  <c r="I22" i="7"/>
  <c r="I7" i="7"/>
  <c r="A3" i="9" s="1"/>
  <c r="I9" i="7"/>
  <c r="A4" i="9" s="1"/>
  <c r="I28" i="7"/>
  <c r="A6" i="9"/>
  <c r="A11" i="9"/>
  <c r="A9" i="9"/>
  <c r="A10" i="9"/>
  <c r="A14" i="9"/>
  <c r="F27" i="7"/>
  <c r="J14" i="7" s="1"/>
  <c r="K14" i="7" s="1"/>
  <c r="J19" i="7" l="1"/>
  <c r="K19" i="7" s="1"/>
  <c r="D9" i="9" s="1"/>
  <c r="F29" i="7"/>
  <c r="C12" i="9"/>
  <c r="J33" i="7"/>
  <c r="J21" i="7"/>
  <c r="K21" i="7" s="1"/>
  <c r="D10" i="9" s="1"/>
  <c r="J10" i="7"/>
  <c r="K10" i="7" s="1"/>
  <c r="C11" i="9"/>
  <c r="C3" i="9"/>
  <c r="J24" i="7"/>
  <c r="K24" i="7" s="1"/>
  <c r="F32" i="7"/>
  <c r="F33" i="7" s="1"/>
  <c r="F34" i="7" s="1"/>
  <c r="J26" i="7"/>
  <c r="K26" i="7" s="1"/>
  <c r="J29" i="7"/>
  <c r="J13" i="7"/>
  <c r="K13" i="7" s="1"/>
  <c r="D6" i="9" s="1"/>
  <c r="C16" i="9"/>
  <c r="C8" i="9"/>
  <c r="J27" i="7"/>
  <c r="J11" i="7"/>
  <c r="K11" i="7" s="1"/>
  <c r="D5" i="9" s="1"/>
  <c r="C15" i="9"/>
  <c r="C7" i="9"/>
  <c r="J32" i="7"/>
  <c r="K32" i="7" s="1"/>
  <c r="J16" i="7"/>
  <c r="K16" i="7" s="1"/>
  <c r="J34" i="7"/>
  <c r="K34" i="7" s="1"/>
  <c r="J18" i="7"/>
  <c r="K18" i="7" s="1"/>
  <c r="J31" i="7"/>
  <c r="J25" i="7"/>
  <c r="J15" i="7"/>
  <c r="J9" i="7"/>
  <c r="F31" i="7"/>
  <c r="C14" i="9"/>
  <c r="C10" i="9"/>
  <c r="C6" i="9"/>
  <c r="J12" i="7"/>
  <c r="K12" i="7" s="1"/>
  <c r="J23" i="7"/>
  <c r="J17" i="7"/>
  <c r="J7" i="7"/>
  <c r="C2" i="9"/>
  <c r="C13" i="9"/>
  <c r="C9" i="9"/>
  <c r="C5" i="9"/>
  <c r="J6" i="7"/>
  <c r="K6" i="7" s="1"/>
  <c r="J28" i="7"/>
  <c r="K28" i="7" s="1"/>
  <c r="J20" i="7"/>
  <c r="K20" i="7" s="1"/>
  <c r="C4" i="9"/>
  <c r="J8" i="7"/>
  <c r="K8" i="7" s="1"/>
  <c r="J30" i="7"/>
  <c r="K30" i="7" s="1"/>
  <c r="J22" i="7"/>
  <c r="K22" i="7" s="1"/>
  <c r="B9" i="9"/>
  <c r="B6" i="9" l="1"/>
  <c r="B5" i="9"/>
  <c r="B3" i="9"/>
  <c r="K7" i="7"/>
  <c r="D3" i="9" s="1"/>
  <c r="B11" i="9"/>
  <c r="K23" i="7"/>
  <c r="D11" i="9" s="1"/>
  <c r="B4" i="9"/>
  <c r="K9" i="7"/>
  <c r="D4" i="9" s="1"/>
  <c r="B12" i="9"/>
  <c r="K25" i="7"/>
  <c r="D12" i="9" s="1"/>
  <c r="B10" i="9"/>
  <c r="K17" i="7"/>
  <c r="D8" i="9" s="1"/>
  <c r="K15" i="7"/>
  <c r="D7" i="9" s="1"/>
  <c r="K31" i="7"/>
  <c r="D15" i="9" s="1"/>
  <c r="B13" i="9"/>
  <c r="K27" i="7"/>
  <c r="D13" i="9" s="1"/>
  <c r="B14" i="9"/>
  <c r="K29" i="7"/>
  <c r="D14" i="9" s="1"/>
  <c r="K33" i="7"/>
  <c r="D16" i="9" s="1"/>
  <c r="B15" i="9"/>
  <c r="B16" i="9"/>
  <c r="B8" i="9"/>
  <c r="B7" i="9"/>
  <c r="L55" i="9"/>
  <c r="G55" i="9"/>
  <c r="I55" i="9"/>
</calcChain>
</file>

<file path=xl/sharedStrings.xml><?xml version="1.0" encoding="utf-8"?>
<sst xmlns="http://schemas.openxmlformats.org/spreadsheetml/2006/main" count="218" uniqueCount="151">
  <si>
    <t>Показатели</t>
  </si>
  <si>
    <t xml:space="preserve"> № п/п</t>
  </si>
  <si>
    <t>Период времени использования, час/сутки</t>
  </si>
  <si>
    <t>Продолжительность рабочего дня, час</t>
  </si>
  <si>
    <t>Коэффициент интенсивности труда</t>
  </si>
  <si>
    <t>Коэффициент квалификации</t>
  </si>
  <si>
    <t xml:space="preserve">Средний коэффициент интенсивности труда </t>
  </si>
  <si>
    <t>Среднемесячная заработная плата, руб</t>
  </si>
  <si>
    <t>Моделирование активности персонала фирмы</t>
  </si>
  <si>
    <t xml:space="preserve"> Характеристика локального рынка труда </t>
  </si>
  <si>
    <t>Показатели для данной профессии</t>
  </si>
  <si>
    <t>Трудовая характеристика сотрудника</t>
  </si>
  <si>
    <t>Расчетные показатели трудового процесса</t>
  </si>
  <si>
    <t>Наименование показателей</t>
  </si>
  <si>
    <t>Потенциал трудовой активности работника</t>
  </si>
  <si>
    <t>Обознач</t>
  </si>
  <si>
    <t>ПТА</t>
  </si>
  <si>
    <t>Значение</t>
  </si>
  <si>
    <t>ПТАр</t>
  </si>
  <si>
    <t>Коэффициент использования оборудования, %</t>
  </si>
  <si>
    <t>Валентность работника</t>
  </si>
  <si>
    <t>ЧПТАоб</t>
  </si>
  <si>
    <t>Тоб</t>
  </si>
  <si>
    <t>КИоб</t>
  </si>
  <si>
    <t>Тр</t>
  </si>
  <si>
    <t>КИр</t>
  </si>
  <si>
    <t>Ккв</t>
  </si>
  <si>
    <t>Вр</t>
  </si>
  <si>
    <t>Альфа</t>
  </si>
  <si>
    <t xml:space="preserve">Среднемесячное число рабочих часов, час </t>
  </si>
  <si>
    <t>ЗПн</t>
  </si>
  <si>
    <t>Тмес</t>
  </si>
  <si>
    <t>ПТАоб</t>
  </si>
  <si>
    <t>Потенциал трудовой активности рабочего места</t>
  </si>
  <si>
    <t>Рн</t>
  </si>
  <si>
    <t>ФТАн</t>
  </si>
  <si>
    <t>РЭн</t>
  </si>
  <si>
    <t>Коэффициент трудозатрат (логарифмический)</t>
  </si>
  <si>
    <t>ДЕЛ</t>
  </si>
  <si>
    <t>№п/п</t>
  </si>
  <si>
    <t>ФТА</t>
  </si>
  <si>
    <t>Сменная производительность оборудования</t>
  </si>
  <si>
    <t>Таблица 5</t>
  </si>
  <si>
    <t>ЗПм</t>
  </si>
  <si>
    <t>Оценка месячной заработной платы (норма), руб</t>
  </si>
  <si>
    <t>ФТАэ</t>
  </si>
  <si>
    <t>Отношение работник/среднерыночный работник</t>
  </si>
  <si>
    <t>ОТНрс</t>
  </si>
  <si>
    <t>Характеристика оборудования рабочего места</t>
  </si>
  <si>
    <t>Значения активности и ЗПм</t>
  </si>
  <si>
    <t>Предельная производительность, ЧНТ/час</t>
  </si>
  <si>
    <t>Расценка среднерыночная, руб/ЧНТ</t>
  </si>
  <si>
    <t>Нормативная трудовая активность работника, ЧНТ</t>
  </si>
  <si>
    <t>Эффективная расценка (учет валентности), руб/ЧНТ</t>
  </si>
  <si>
    <t>Эффективная трудовая активность работника, ЧНТ</t>
  </si>
  <si>
    <t>Таблица 1 АР</t>
  </si>
  <si>
    <t>Таблица 2 АР</t>
  </si>
  <si>
    <t>Таблица 3 АР</t>
  </si>
  <si>
    <t>Таблица 4 АР</t>
  </si>
  <si>
    <t>Расчетные данные:</t>
  </si>
  <si>
    <t>ФТА=</t>
  </si>
  <si>
    <t>ЧНТ</t>
  </si>
  <si>
    <t>ЗПд=</t>
  </si>
  <si>
    <t>руб.</t>
  </si>
  <si>
    <t>Б) Требуемую оплату 1 ЧНТ для выполнения работником 10 ЧНТ в среднем за рабочий день</t>
  </si>
  <si>
    <t>По диаграмме находим, что 10 ЧНТ потребуют оплаты (расценки) равную:</t>
  </si>
  <si>
    <t>р=</t>
  </si>
  <si>
    <t>А)</t>
  </si>
  <si>
    <t>ЗПм=</t>
  </si>
  <si>
    <t>Б)</t>
  </si>
  <si>
    <t>В) ЗПд и ЗПм по данным пп. А) и Б) (принять 20 рабочих дней в месяц) вычисляем по формуле (1) файла "Активность работ -ДО.doc"</t>
  </si>
  <si>
    <t>Вопрос по основным понятиям</t>
  </si>
  <si>
    <t>Выделить фоном нужный ответ</t>
  </si>
  <si>
    <t>р</t>
  </si>
  <si>
    <t>рн</t>
  </si>
  <si>
    <t>α</t>
  </si>
  <si>
    <t>Как обозначается фактическая трудовая активность?</t>
  </si>
  <si>
    <t>Как обозначается потенциал трудовой активности?</t>
  </si>
  <si>
    <t>Как обозначается часовая норма труда?</t>
  </si>
  <si>
    <t>Как обозначается расценка?</t>
  </si>
  <si>
    <t>Как обозначается расценка среднерыночная?</t>
  </si>
  <si>
    <t>Пункт Глосария</t>
  </si>
  <si>
    <t>Стр. 17 УП</t>
  </si>
  <si>
    <t>Ответить на вопросы  по теме "Математическое моделирование активности работников" (См. глоссарий и учебное пособие (УП) по курсу)</t>
  </si>
  <si>
    <t>Стр. 18 УП</t>
  </si>
  <si>
    <t>Как обозначается норма трудовой активност?</t>
  </si>
  <si>
    <t>Как обозначается среднерыночная  интенсивность труда на локальном рынке</t>
  </si>
  <si>
    <t>Показатель ЧНТ используется как</t>
  </si>
  <si>
    <t>мера квалификации работника</t>
  </si>
  <si>
    <t>мера интесивности труда работника</t>
  </si>
  <si>
    <t xml:space="preserve">мера объема выполненной работы </t>
  </si>
  <si>
    <t>Показатель ПТА характеризует за рабочий день</t>
  </si>
  <si>
    <t>объем фактически выполненной работы</t>
  </si>
  <si>
    <t>средний объем работы, который может выполнить работник</t>
  </si>
  <si>
    <t>С. 17, 18 УП</t>
  </si>
  <si>
    <t>Активность, ФТА</t>
  </si>
  <si>
    <t>среднерыночного работника</t>
  </si>
  <si>
    <t>Построенный в данной расчетной работе график зависимости ФТА от расценки Р  характеризует</t>
  </si>
  <si>
    <t>индивидуального работника на любом рынке труда</t>
  </si>
  <si>
    <t>индивидуального работника на локальном рынке труда</t>
  </si>
  <si>
    <t>Ваш работник активнее среднерыночного на</t>
  </si>
  <si>
    <t>Расчеты</t>
  </si>
  <si>
    <t>1*</t>
  </si>
  <si>
    <t>Стр. 17 УП - номер страницы в файле учебного пособия.</t>
  </si>
  <si>
    <t>Ось Х, р - расценка</t>
  </si>
  <si>
    <t>максимальный объем работы, который способен выполнить работник</t>
  </si>
  <si>
    <t>№ вар</t>
  </si>
  <si>
    <t>ФИО магист гр. 4.506Мз-3</t>
  </si>
  <si>
    <t>ФИО магист гр. 4.506М-3</t>
  </si>
  <si>
    <t>Задание по лабораторной работе 5 ФТА работников</t>
  </si>
  <si>
    <t>А) Среднедневной активности (ФТА измеренное в ЧНТ) при оплате 1 ЧНТ равной 400 рублей</t>
  </si>
  <si>
    <t>При 400 руб по диаграмме находим ФТА в ЧНТ:</t>
  </si>
  <si>
    <t xml:space="preserve">1* - номер показазателя в файле глоссария.     </t>
  </si>
  <si>
    <t>Номера вариантов индивидуальных заданий</t>
  </si>
  <si>
    <t xml:space="preserve">Даннае таблиц 1-3 внести на лист 2 программы: Пример для вар 36 (3,4,4). Внести на лист 2 </t>
  </si>
  <si>
    <t>следующие данные: столбца 3 таблицы 1, столбца 4 таблицы 2 и столбцв 4 (70000) таблицы 3.</t>
  </si>
  <si>
    <t>Абрамян Нина</t>
  </si>
  <si>
    <t xml:space="preserve">Адаев Дмитрий </t>
  </si>
  <si>
    <t>Бенчак Олег (К) (МФ)</t>
  </si>
  <si>
    <t xml:space="preserve">Вдовин Руслан </t>
  </si>
  <si>
    <t xml:space="preserve">Волков Федор </t>
  </si>
  <si>
    <t xml:space="preserve">Клевцов Артём </t>
  </si>
  <si>
    <t xml:space="preserve">Лакпа Темир </t>
  </si>
  <si>
    <t xml:space="preserve">Манаков Матвей </t>
  </si>
  <si>
    <t xml:space="preserve">Рысин Павел </t>
  </si>
  <si>
    <t xml:space="preserve">Сальникова Ксения </t>
  </si>
  <si>
    <t xml:space="preserve">Сизинцева Юлия </t>
  </si>
  <si>
    <t xml:space="preserve">Сиялов Илья </t>
  </si>
  <si>
    <t xml:space="preserve">Черевкова Алёна (МФ) </t>
  </si>
  <si>
    <t>Азиззода Сафарали (Т)</t>
  </si>
  <si>
    <t xml:space="preserve">Булачкова Юлианна </t>
  </si>
  <si>
    <t>Гаврилов Егор (К)</t>
  </si>
  <si>
    <t>Гайдай Андрей</t>
  </si>
  <si>
    <t>Ганибаев Равиль (К)</t>
  </si>
  <si>
    <t xml:space="preserve">Граубергер Александр </t>
  </si>
  <si>
    <t xml:space="preserve">Ерофеев Тимур </t>
  </si>
  <si>
    <t xml:space="preserve">Жидков Григорий </t>
  </si>
  <si>
    <t xml:space="preserve">Коваленко Алексей </t>
  </si>
  <si>
    <t xml:space="preserve">Козлов Леонид </t>
  </si>
  <si>
    <t xml:space="preserve">Колупаев Александр </t>
  </si>
  <si>
    <t xml:space="preserve">Кондратенко Иван </t>
  </si>
  <si>
    <t xml:space="preserve">Кузнецов Максим </t>
  </si>
  <si>
    <t xml:space="preserve">Кузяков Сергей </t>
  </si>
  <si>
    <t xml:space="preserve">Лысенко Никита </t>
  </si>
  <si>
    <t>Лян Вэньхао (К)</t>
  </si>
  <si>
    <t xml:space="preserve">Меньшиков Сергей </t>
  </si>
  <si>
    <t xml:space="preserve">Сопов Никита </t>
  </si>
  <si>
    <t xml:space="preserve">Стеганцев Дмитрий </t>
  </si>
  <si>
    <t xml:space="preserve">Тихомирова Злата </t>
  </si>
  <si>
    <t xml:space="preserve">Чечулин Николай </t>
  </si>
  <si>
    <t xml:space="preserve">Языков Ярослав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</si>
</sst>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name val="Times New Roman"/>
      <family val="1"/>
      <charset val="204"/>
    </font>
    <font>
      <sz val="10"/>
      <name val="Arial Cyr"/>
      <family val="2"/>
      <charset val="204"/>
    </font>
    <font>
      <sz val="8"/>
      <name val="Arial Cyr"/>
      <charset val="204"/>
    </font>
    <font>
      <b/>
      <sz val="10"/>
      <name val="Arial Cyr"/>
      <charset val="204"/>
    </font>
    <font>
      <sz val="12"/>
      <name val="Times New Roman"/>
      <family val="1"/>
      <charset val="204"/>
    </font>
    <font>
      <sz val="10"/>
      <name val="Arial Cyr"/>
      <charset val="204"/>
    </font>
    <font>
      <sz val="12"/>
      <name val="Arial Cyr"/>
      <charset val="204"/>
    </font>
    <font>
      <sz val="14"/>
      <color theme="1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  <font>
      <sz val="11"/>
      <color rgb="FF000000"/>
      <name val="Segoe UI"/>
      <family val="2"/>
      <charset val="204"/>
    </font>
    <font>
      <sz val="16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0" fontId="3" fillId="0" borderId="0"/>
  </cellStyleXfs>
  <cellXfs count="67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8" fillId="4" borderId="6" xfId="0" applyFont="1" applyFill="1" applyBorder="1" applyAlignment="1" applyProtection="1">
      <alignment horizontal="center" vertical="center" wrapText="1"/>
      <protection locked="0"/>
    </xf>
    <xf numFmtId="0" fontId="8" fillId="4" borderId="7" xfId="0" applyFont="1" applyFill="1" applyBorder="1" applyAlignment="1" applyProtection="1">
      <alignment horizontal="center" vertical="center" wrapText="1"/>
      <protection locked="0"/>
    </xf>
    <xf numFmtId="9" fontId="8" fillId="4" borderId="7" xfId="0" applyNumberFormat="1" applyFont="1" applyFill="1" applyBorder="1" applyAlignment="1" applyProtection="1">
      <alignment horizontal="center" vertical="center" wrapText="1"/>
      <protection locked="0"/>
    </xf>
    <xf numFmtId="1" fontId="0" fillId="0" borderId="1" xfId="0" applyNumberFormat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8" fillId="4" borderId="6" xfId="0" applyFont="1" applyFill="1" applyBorder="1" applyAlignment="1" applyProtection="1">
      <alignment horizontal="center" vertical="center"/>
      <protection locked="0"/>
    </xf>
    <xf numFmtId="0" fontId="8" fillId="4" borderId="7" xfId="0" applyFont="1" applyFill="1" applyBorder="1" applyAlignment="1" applyProtection="1">
      <alignment horizontal="center" vertical="center"/>
      <protection locked="0"/>
    </xf>
    <xf numFmtId="0" fontId="8" fillId="4" borderId="0" xfId="0" applyFont="1" applyFill="1" applyAlignment="1" applyProtection="1">
      <alignment horizontal="center"/>
      <protection locked="0"/>
    </xf>
    <xf numFmtId="0" fontId="10" fillId="6" borderId="0" xfId="0" applyFont="1" applyFill="1"/>
    <xf numFmtId="0" fontId="0" fillId="6" borderId="0" xfId="0" applyFill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5" borderId="0" xfId="0" applyFill="1"/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1" fillId="4" borderId="0" xfId="2" applyFont="1" applyFill="1"/>
    <xf numFmtId="0" fontId="3" fillId="0" borderId="0" xfId="2"/>
    <xf numFmtId="0" fontId="3" fillId="0" borderId="1" xfId="2" applyBorder="1"/>
    <xf numFmtId="0" fontId="12" fillId="0" borderId="1" xfId="2" applyFont="1" applyBorder="1" applyAlignment="1">
      <alignment horizontal="center" vertical="center" wrapText="1"/>
    </xf>
    <xf numFmtId="0" fontId="14" fillId="4" borderId="0" xfId="2" applyFont="1" applyFill="1"/>
    <xf numFmtId="0" fontId="11" fillId="0" borderId="0" xfId="2" applyFont="1"/>
    <xf numFmtId="164" fontId="0" fillId="3" borderId="1" xfId="0" applyNumberFormat="1" applyFill="1" applyBorder="1" applyAlignment="1">
      <alignment horizontal="center"/>
    </xf>
    <xf numFmtId="0" fontId="2" fillId="0" borderId="0" xfId="2" applyFont="1"/>
    <xf numFmtId="0" fontId="1" fillId="0" borderId="0" xfId="2" applyFont="1"/>
    <xf numFmtId="0" fontId="12" fillId="0" borderId="0" xfId="2" applyFont="1" applyAlignment="1">
      <alignment horizontal="center" vertical="center" wrapText="1"/>
    </xf>
    <xf numFmtId="0" fontId="13" fillId="0" borderId="0" xfId="2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4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1" applyFont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9" fontId="0" fillId="5" borderId="1" xfId="1" applyFont="1" applyFill="1" applyBorder="1" applyAlignment="1">
      <alignment horizontal="center"/>
    </xf>
  </cellXfs>
  <cellStyles count="3">
    <cellStyle name="Обычный" xfId="0" builtinId="0"/>
    <cellStyle name="Обычный 3" xfId="2" xr:uid="{00000000-0005-0000-0000-000001000000}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75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rPr lang="ru-RU"/>
              <a:t>График зависимости активности работника от расценки</a:t>
            </a:r>
          </a:p>
        </c:rich>
      </c:tx>
      <c:layout>
        <c:manualLayout>
          <c:xMode val="edge"/>
          <c:yMode val="edge"/>
          <c:x val="0.13272746361250298"/>
          <c:y val="3.099173553719008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27285801922765"/>
          <c:y val="0.14256212729424322"/>
          <c:w val="0.82727346171294547"/>
          <c:h val="0.71900898983183537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'Диаграмма активности'!$A$2:$A$16</c:f>
              <c:numCache>
                <c:formatCode>0</c:formatCode>
                <c:ptCount val="15"/>
                <c:pt idx="0" formatCode="General">
                  <c:v>0</c:v>
                </c:pt>
                <c:pt idx="1">
                  <c:v>39.21</c:v>
                </c:pt>
                <c:pt idx="2">
                  <c:v>78.430000000000007</c:v>
                </c:pt>
                <c:pt idx="3">
                  <c:v>117.64</c:v>
                </c:pt>
                <c:pt idx="4">
                  <c:v>156.86000000000001</c:v>
                </c:pt>
                <c:pt idx="5">
                  <c:v>196.07</c:v>
                </c:pt>
                <c:pt idx="6">
                  <c:v>235.29</c:v>
                </c:pt>
                <c:pt idx="7">
                  <c:v>274.5</c:v>
                </c:pt>
                <c:pt idx="8">
                  <c:v>313.72000000000003</c:v>
                </c:pt>
                <c:pt idx="9">
                  <c:v>352.94</c:v>
                </c:pt>
                <c:pt idx="10">
                  <c:v>392.15</c:v>
                </c:pt>
                <c:pt idx="11">
                  <c:v>431.37</c:v>
                </c:pt>
                <c:pt idx="12">
                  <c:v>470.58</c:v>
                </c:pt>
                <c:pt idx="13">
                  <c:v>509.8</c:v>
                </c:pt>
                <c:pt idx="14">
                  <c:v>549.01</c:v>
                </c:pt>
              </c:numCache>
            </c:numRef>
          </c:cat>
          <c:val>
            <c:numRef>
              <c:f>'Диаграмма активности'!$B$2:$B$16</c:f>
              <c:numCache>
                <c:formatCode>0.0</c:formatCode>
                <c:ptCount val="15"/>
                <c:pt idx="0" formatCode="0.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1.0169410164609873</c:v>
                </c:pt>
                <c:pt idx="4">
                  <c:v>4.8346210344395306</c:v>
                </c:pt>
                <c:pt idx="5">
                  <c:v>7.1246060723468245</c:v>
                </c:pt>
                <c:pt idx="6">
                  <c:v>8.6516521181977826</c:v>
                </c:pt>
                <c:pt idx="7">
                  <c:v>9.7421132387381189</c:v>
                </c:pt>
                <c:pt idx="8">
                  <c:v>10.56016766007691</c:v>
                </c:pt>
                <c:pt idx="9">
                  <c:v>11.196411607086311</c:v>
                </c:pt>
                <c:pt idx="10">
                  <c:v>11.705276985204385</c:v>
                </c:pt>
                <c:pt idx="11">
                  <c:v>12.12172864138353</c:v>
                </c:pt>
                <c:pt idx="12">
                  <c:v>12.468683201956035</c:v>
                </c:pt>
                <c:pt idx="13">
                  <c:v>12.762335534449168</c:v>
                </c:pt>
                <c:pt idx="14">
                  <c:v>13.013973356778644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2F-486F-B17C-896E47D578F3}"/>
            </c:ext>
          </c:extLst>
        </c:ser>
        <c:ser>
          <c:idx val="1"/>
          <c:order val="1"/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'Диаграмма активности'!$C$2:$C$16</c:f>
              <c:numCache>
                <c:formatCode>0.00</c:formatCode>
                <c:ptCount val="15"/>
                <c:pt idx="0">
                  <c:v>16.285714285714288</c:v>
                </c:pt>
                <c:pt idx="1">
                  <c:v>16.285714285714288</c:v>
                </c:pt>
                <c:pt idx="2">
                  <c:v>16.285714285714288</c:v>
                </c:pt>
                <c:pt idx="3">
                  <c:v>16.285714285714288</c:v>
                </c:pt>
                <c:pt idx="4">
                  <c:v>16.285714285714288</c:v>
                </c:pt>
                <c:pt idx="5">
                  <c:v>16.285714285714288</c:v>
                </c:pt>
                <c:pt idx="6">
                  <c:v>16.285714285714288</c:v>
                </c:pt>
                <c:pt idx="7">
                  <c:v>16.285714285714288</c:v>
                </c:pt>
                <c:pt idx="8">
                  <c:v>16.285714285714288</c:v>
                </c:pt>
                <c:pt idx="9">
                  <c:v>16.285714285714288</c:v>
                </c:pt>
                <c:pt idx="10">
                  <c:v>16.285714285714288</c:v>
                </c:pt>
                <c:pt idx="11">
                  <c:v>16.285714285714288</c:v>
                </c:pt>
                <c:pt idx="12">
                  <c:v>16.285714285714288</c:v>
                </c:pt>
                <c:pt idx="13">
                  <c:v>16.285714285714288</c:v>
                </c:pt>
                <c:pt idx="14">
                  <c:v>16.285714285714288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2F-486F-B17C-896E47D57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778560"/>
        <c:axId val="143780480"/>
      </c:lineChart>
      <c:catAx>
        <c:axId val="14377856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r>
                  <a:rPr lang="ru-RU"/>
                  <a:t>Уровень оплаты труда</a:t>
                </a:r>
                <a:r>
                  <a:rPr lang="ru-RU" baseline="0"/>
                  <a:t> в зависимости от расценки р (</a:t>
                </a:r>
                <a:r>
                  <a:rPr lang="ru-RU"/>
                  <a:t>руб/ЧНТ)          </a:t>
                </a:r>
              </a:p>
            </c:rich>
          </c:tx>
          <c:layout>
            <c:manualLayout>
              <c:xMode val="edge"/>
              <c:yMode val="edge"/>
              <c:x val="0.21594509684329591"/>
              <c:y val="0.9235545510267925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14378048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437804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r>
                  <a:rPr lang="ru-RU"/>
                  <a:t>Уровни активности, ФТА</a:t>
                </a:r>
              </a:p>
            </c:rich>
          </c:tx>
          <c:layout>
            <c:manualLayout>
              <c:xMode val="edge"/>
              <c:yMode val="edge"/>
              <c:x val="2.9090909090909091E-2"/>
              <c:y val="0.3842979544912257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143778560"/>
        <c:crosses val="autoZero"/>
        <c:crossBetween val="between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 alignWithMargins="0"/>
    <c:pageMargins b="1" l="0.75" r="0.75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25</xdr:row>
      <xdr:rowOff>91612</xdr:rowOff>
    </xdr:from>
    <xdr:to>
      <xdr:col>5</xdr:col>
      <xdr:colOff>64770</xdr:colOff>
      <xdr:row>38</xdr:row>
      <xdr:rowOff>41455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A8C047B-93EC-4ADD-BD9A-AC979850A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" y="4838872"/>
          <a:ext cx="5105400" cy="2327283"/>
        </a:xfrm>
        <a:prstGeom prst="rect">
          <a:avLst/>
        </a:prstGeom>
      </xdr:spPr>
    </xdr:pic>
    <xdr:clientData/>
  </xdr:twoCellAnchor>
  <xdr:twoCellAnchor editAs="oneCell">
    <xdr:from>
      <xdr:col>5</xdr:col>
      <xdr:colOff>289560</xdr:colOff>
      <xdr:row>1</xdr:row>
      <xdr:rowOff>183961</xdr:rowOff>
    </xdr:from>
    <xdr:to>
      <xdr:col>15</xdr:col>
      <xdr:colOff>119016</xdr:colOff>
      <xdr:row>18</xdr:row>
      <xdr:rowOff>27419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58E9165-4B44-4567-9B36-479774B3A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71868" y="447730"/>
          <a:ext cx="5764263" cy="33090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0</xdr:row>
      <xdr:rowOff>142875</xdr:rowOff>
    </xdr:from>
    <xdr:to>
      <xdr:col>12</xdr:col>
      <xdr:colOff>409575</xdr:colOff>
      <xdr:row>29</xdr:row>
      <xdr:rowOff>57150</xdr:rowOff>
    </xdr:to>
    <xdr:graphicFrame macro="">
      <xdr:nvGraphicFramePr>
        <xdr:cNvPr id="1029" name="Chart 1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0.04982</cdr:x>
      <cdr:y>0.16726</cdr:y>
    </cdr:from>
    <cdr:to>
      <cdr:x>0.14776</cdr:x>
      <cdr:y>0.20227</cdr:y>
    </cdr:to>
    <cdr:sp macro="" textlink="">
      <cdr:nvSpPr>
        <cdr:cNvPr id="20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4651" y="775831"/>
          <a:ext cx="514014" cy="16174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0" tIns="22860" rIns="27432" bIns="0" anchor="t" upright="1"/>
        <a:lstStyle xmlns:a="http://schemas.openxmlformats.org/drawingml/2006/main"/>
        <a:p xmlns:a="http://schemas.openxmlformats.org/drawingml/2006/main">
          <a:pPr algn="r" rtl="1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ПТА</a:t>
          </a:r>
        </a:p>
      </cdr:txBody>
    </cdr:sp>
  </cdr:relSizeAnchor>
</c:userShap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opLeftCell="A7" zoomScale="130" zoomScaleNormal="130" workbookViewId="0">
      <selection activeCell="J23" sqref="J23"/>
    </sheetView>
  </sheetViews>
  <sheetFormatPr defaultColWidth="8.85546875" defaultRowHeight="15" x14ac:dyDescent="0.25"/>
  <cols>
    <col min="1" max="1" width="8.85546875" style="35"/>
    <col min="2" max="2" width="25.85546875" style="35" customWidth="1"/>
    <col min="3" max="3" width="5" style="35" customWidth="1"/>
    <col min="4" max="4" width="8.85546875" style="35"/>
    <col min="5" max="5" width="26" style="35" customWidth="1"/>
    <col min="6" max="16384" width="8.85546875" style="35"/>
  </cols>
  <sheetData>
    <row r="1" spans="1:7" ht="21.6" customHeight="1" x14ac:dyDescent="0.35">
      <c r="A1" s="34"/>
      <c r="B1" s="38" t="s">
        <v>109</v>
      </c>
      <c r="C1" s="34"/>
      <c r="D1" s="34"/>
      <c r="E1" s="34"/>
      <c r="F1" s="34"/>
      <c r="G1" s="34"/>
    </row>
    <row r="2" spans="1:7" ht="22.15" customHeight="1" x14ac:dyDescent="0.3">
      <c r="B2" s="39" t="s">
        <v>113</v>
      </c>
    </row>
    <row r="3" spans="1:7" x14ac:dyDescent="0.25">
      <c r="A3" s="36" t="s">
        <v>106</v>
      </c>
      <c r="B3" s="36" t="s">
        <v>107</v>
      </c>
      <c r="D3" s="36" t="s">
        <v>106</v>
      </c>
      <c r="E3" s="36" t="s">
        <v>108</v>
      </c>
    </row>
    <row r="4" spans="1:7" ht="15.75" x14ac:dyDescent="0.25">
      <c r="A4" s="37">
        <v>23</v>
      </c>
      <c r="B4" s="45" t="s">
        <v>116</v>
      </c>
      <c r="D4" s="37">
        <v>1</v>
      </c>
      <c r="E4" s="45" t="s">
        <v>129</v>
      </c>
    </row>
    <row r="5" spans="1:7" ht="15.75" x14ac:dyDescent="0.25">
      <c r="A5" s="37">
        <v>24</v>
      </c>
      <c r="B5" s="45" t="s">
        <v>117</v>
      </c>
      <c r="D5" s="37">
        <v>2</v>
      </c>
      <c r="E5" s="45" t="s">
        <v>130</v>
      </c>
    </row>
    <row r="6" spans="1:7" ht="15.75" x14ac:dyDescent="0.25">
      <c r="A6" s="37">
        <v>25</v>
      </c>
      <c r="B6" s="45" t="s">
        <v>118</v>
      </c>
      <c r="D6" s="37">
        <v>3</v>
      </c>
      <c r="E6" s="45" t="s">
        <v>131</v>
      </c>
    </row>
    <row r="7" spans="1:7" ht="15.75" x14ac:dyDescent="0.25">
      <c r="A7" s="37">
        <v>26</v>
      </c>
      <c r="B7" s="45" t="s">
        <v>119</v>
      </c>
      <c r="D7" s="37">
        <v>4</v>
      </c>
      <c r="E7" s="45" t="s">
        <v>132</v>
      </c>
    </row>
    <row r="8" spans="1:7" ht="15.75" x14ac:dyDescent="0.25">
      <c r="A8" s="37">
        <v>27</v>
      </c>
      <c r="B8" s="45" t="s">
        <v>120</v>
      </c>
      <c r="D8" s="37">
        <v>5</v>
      </c>
      <c r="E8" s="45" t="s">
        <v>133</v>
      </c>
    </row>
    <row r="9" spans="1:7" ht="15.75" x14ac:dyDescent="0.25">
      <c r="A9" s="37">
        <v>28</v>
      </c>
      <c r="B9" s="45" t="s">
        <v>121</v>
      </c>
      <c r="D9" s="37">
        <v>6</v>
      </c>
      <c r="E9" s="45" t="s">
        <v>134</v>
      </c>
    </row>
    <row r="10" spans="1:7" ht="15.75" x14ac:dyDescent="0.25">
      <c r="A10" s="37">
        <v>29</v>
      </c>
      <c r="B10" s="45" t="s">
        <v>122</v>
      </c>
      <c r="D10" s="37">
        <v>7</v>
      </c>
      <c r="E10" s="45" t="s">
        <v>135</v>
      </c>
    </row>
    <row r="11" spans="1:7" ht="16.149999999999999" customHeight="1" x14ac:dyDescent="0.25">
      <c r="A11" s="37">
        <v>30</v>
      </c>
      <c r="B11" s="45" t="s">
        <v>123</v>
      </c>
      <c r="D11" s="37">
        <v>8</v>
      </c>
      <c r="E11" s="45" t="s">
        <v>136</v>
      </c>
    </row>
    <row r="12" spans="1:7" ht="15.75" x14ac:dyDescent="0.25">
      <c r="A12" s="37">
        <v>31</v>
      </c>
      <c r="B12" s="45" t="s">
        <v>124</v>
      </c>
      <c r="D12" s="37">
        <v>9</v>
      </c>
      <c r="E12" s="45" t="s">
        <v>137</v>
      </c>
    </row>
    <row r="13" spans="1:7" ht="15.75" x14ac:dyDescent="0.25">
      <c r="A13" s="37">
        <v>32</v>
      </c>
      <c r="B13" s="45" t="s">
        <v>125</v>
      </c>
      <c r="D13" s="37">
        <v>10</v>
      </c>
      <c r="E13" s="45" t="s">
        <v>138</v>
      </c>
    </row>
    <row r="14" spans="1:7" ht="15.75" x14ac:dyDescent="0.25">
      <c r="A14" s="37">
        <v>33</v>
      </c>
      <c r="B14" s="45" t="s">
        <v>126</v>
      </c>
      <c r="D14" s="37">
        <v>11</v>
      </c>
      <c r="E14" s="45" t="s">
        <v>139</v>
      </c>
    </row>
    <row r="15" spans="1:7" ht="15.75" x14ac:dyDescent="0.25">
      <c r="A15" s="37">
        <v>34</v>
      </c>
      <c r="B15" s="45" t="s">
        <v>127</v>
      </c>
      <c r="D15" s="37">
        <v>12</v>
      </c>
      <c r="E15" s="45" t="s">
        <v>140</v>
      </c>
    </row>
    <row r="16" spans="1:7" ht="15.75" x14ac:dyDescent="0.25">
      <c r="A16" s="37">
        <v>35</v>
      </c>
      <c r="B16" s="45" t="s">
        <v>128</v>
      </c>
      <c r="D16" s="37">
        <v>13</v>
      </c>
      <c r="E16" s="45" t="s">
        <v>141</v>
      </c>
    </row>
    <row r="17" spans="1:7" ht="16.5" x14ac:dyDescent="0.25">
      <c r="A17" s="43"/>
      <c r="B17" s="44"/>
      <c r="D17" s="37">
        <v>14</v>
      </c>
      <c r="E17" s="45" t="s">
        <v>142</v>
      </c>
    </row>
    <row r="18" spans="1:7" ht="16.5" x14ac:dyDescent="0.25">
      <c r="A18" s="43"/>
      <c r="B18" s="44"/>
      <c r="D18" s="37">
        <v>15</v>
      </c>
      <c r="E18" s="45" t="s">
        <v>143</v>
      </c>
    </row>
    <row r="19" spans="1:7" ht="15.75" x14ac:dyDescent="0.25">
      <c r="D19" s="37">
        <v>16</v>
      </c>
      <c r="E19" s="45" t="s">
        <v>144</v>
      </c>
      <c r="G19" s="41" t="s">
        <v>114</v>
      </c>
    </row>
    <row r="20" spans="1:7" ht="15.75" x14ac:dyDescent="0.25">
      <c r="D20" s="37">
        <v>17</v>
      </c>
      <c r="E20" s="45" t="s">
        <v>145</v>
      </c>
      <c r="G20" s="42" t="s">
        <v>115</v>
      </c>
    </row>
    <row r="21" spans="1:7" ht="15.75" x14ac:dyDescent="0.25">
      <c r="D21" s="37">
        <v>18</v>
      </c>
      <c r="E21" s="45" t="s">
        <v>146</v>
      </c>
    </row>
    <row r="22" spans="1:7" ht="15.75" x14ac:dyDescent="0.25">
      <c r="D22" s="37">
        <v>19</v>
      </c>
      <c r="E22" s="45" t="s">
        <v>147</v>
      </c>
    </row>
    <row r="23" spans="1:7" ht="15.75" x14ac:dyDescent="0.25">
      <c r="D23" s="37">
        <v>20</v>
      </c>
      <c r="E23" s="45" t="s">
        <v>148</v>
      </c>
    </row>
    <row r="24" spans="1:7" ht="15.75" x14ac:dyDescent="0.25">
      <c r="D24" s="37">
        <v>21</v>
      </c>
      <c r="E24" s="45" t="s">
        <v>149</v>
      </c>
    </row>
    <row r="25" spans="1:7" ht="15.75" x14ac:dyDescent="0.25">
      <c r="D25" s="37">
        <v>22</v>
      </c>
      <c r="E25" s="45" t="s">
        <v>150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zoomScale="130" zoomScaleNormal="130" workbookViewId="0">
      <selection activeCell="F16" sqref="F16"/>
    </sheetView>
  </sheetViews>
  <sheetFormatPr defaultRowHeight="12.75" x14ac:dyDescent="0.2"/>
  <cols>
    <col min="1" max="1" width="9.7109375" customWidth="1"/>
    <col min="4" max="4" width="29.7109375" customWidth="1"/>
    <col min="5" max="5" width="9.7109375" customWidth="1"/>
    <col min="7" max="7" width="8.28515625" customWidth="1"/>
    <col min="9" max="9" width="9.7109375" customWidth="1"/>
    <col min="11" max="11" width="10.28515625" customWidth="1"/>
    <col min="12" max="12" width="9.5703125" bestFit="1" customWidth="1"/>
  </cols>
  <sheetData>
    <row r="1" spans="1:11" ht="23.25" x14ac:dyDescent="0.35">
      <c r="C1" s="46" t="s">
        <v>8</v>
      </c>
      <c r="D1" s="46"/>
      <c r="E1" s="46"/>
      <c r="F1" s="46"/>
      <c r="G1" s="46"/>
      <c r="H1" s="46"/>
      <c r="I1" s="46"/>
      <c r="J1" s="46"/>
    </row>
    <row r="3" spans="1:11" x14ac:dyDescent="0.2">
      <c r="A3" s="49" t="s">
        <v>48</v>
      </c>
      <c r="B3" s="49"/>
      <c r="C3" s="49"/>
      <c r="D3" s="49"/>
      <c r="E3" t="s">
        <v>55</v>
      </c>
      <c r="H3" t="s">
        <v>49</v>
      </c>
      <c r="K3" t="s">
        <v>42</v>
      </c>
    </row>
    <row r="4" spans="1:11" ht="13.5" thickBot="1" x14ac:dyDescent="0.25">
      <c r="A4" s="6" t="s">
        <v>1</v>
      </c>
      <c r="B4" s="47" t="s">
        <v>0</v>
      </c>
      <c r="C4" s="47"/>
      <c r="D4" s="47"/>
      <c r="E4" s="7" t="s">
        <v>15</v>
      </c>
      <c r="F4" s="7" t="s">
        <v>17</v>
      </c>
      <c r="H4" s="7" t="s">
        <v>39</v>
      </c>
      <c r="I4" s="9" t="s">
        <v>36</v>
      </c>
      <c r="J4" s="9" t="s">
        <v>45</v>
      </c>
      <c r="K4" s="7" t="s">
        <v>43</v>
      </c>
    </row>
    <row r="5" spans="1:11" ht="16.5" thickBot="1" x14ac:dyDescent="0.25">
      <c r="A5" s="7">
        <v>1</v>
      </c>
      <c r="B5" s="8" t="s">
        <v>50</v>
      </c>
      <c r="C5" s="8"/>
      <c r="D5" s="8"/>
      <c r="E5" s="7" t="s">
        <v>21</v>
      </c>
      <c r="F5" s="15">
        <v>1.2</v>
      </c>
      <c r="H5" s="7">
        <v>1</v>
      </c>
      <c r="I5" s="7">
        <v>0</v>
      </c>
      <c r="J5" s="9">
        <v>0</v>
      </c>
      <c r="K5" s="12">
        <f>($F$21/8)*J5*$F$28</f>
        <v>0</v>
      </c>
    </row>
    <row r="6" spans="1:11" ht="16.5" thickBot="1" x14ac:dyDescent="0.25">
      <c r="A6" s="7">
        <v>2</v>
      </c>
      <c r="B6" s="8" t="s">
        <v>2</v>
      </c>
      <c r="C6" s="8"/>
      <c r="D6" s="8"/>
      <c r="E6" s="7" t="s">
        <v>22</v>
      </c>
      <c r="F6" s="16">
        <v>18</v>
      </c>
      <c r="H6" s="7">
        <v>2</v>
      </c>
      <c r="I6" s="9">
        <f>ROUNDDOWN(2*$F$28*(H6-1)/30,2)</f>
        <v>19.600000000000001</v>
      </c>
      <c r="J6" s="9">
        <f>MAX(0,$F$27*(1-($F$28*(1-$F$19)/(I6*$F$15))))</f>
        <v>0</v>
      </c>
      <c r="K6" s="12">
        <f t="shared" ref="K6:K34" si="0">($F$21/8)*J6*$F$28</f>
        <v>0</v>
      </c>
    </row>
    <row r="7" spans="1:11" ht="16.5" thickBot="1" x14ac:dyDescent="0.25">
      <c r="A7" s="7">
        <v>3</v>
      </c>
      <c r="B7" s="8" t="s">
        <v>19</v>
      </c>
      <c r="C7" s="8"/>
      <c r="D7" s="8"/>
      <c r="E7" s="7" t="s">
        <v>23</v>
      </c>
      <c r="F7" s="17">
        <v>0.95</v>
      </c>
      <c r="H7" s="7">
        <v>3</v>
      </c>
      <c r="I7" s="9">
        <f t="shared" ref="I7:I34" si="1">ROUNDDOWN(2*$F$28*(H7-1)/30,2)</f>
        <v>39.21</v>
      </c>
      <c r="J7" s="9">
        <f t="shared" ref="J7:J34" si="2">MAX(0,$F$27*(1-($F$28*(1-$F$19)/(I7*$F$15))))</f>
        <v>0</v>
      </c>
      <c r="K7" s="12">
        <f t="shared" si="0"/>
        <v>0</v>
      </c>
    </row>
    <row r="8" spans="1:11" x14ac:dyDescent="0.2">
      <c r="H8" s="7">
        <v>4</v>
      </c>
      <c r="I8" s="9">
        <f t="shared" si="1"/>
        <v>58.82</v>
      </c>
      <c r="J8" s="9">
        <f t="shared" si="2"/>
        <v>0</v>
      </c>
      <c r="K8" s="12">
        <f t="shared" si="0"/>
        <v>0</v>
      </c>
    </row>
    <row r="9" spans="1:11" x14ac:dyDescent="0.2">
      <c r="H9" s="7">
        <v>5</v>
      </c>
      <c r="I9" s="9">
        <f t="shared" si="1"/>
        <v>78.430000000000007</v>
      </c>
      <c r="J9" s="9">
        <f t="shared" si="2"/>
        <v>0</v>
      </c>
      <c r="K9" s="12">
        <f t="shared" si="0"/>
        <v>0</v>
      </c>
    </row>
    <row r="10" spans="1:11" x14ac:dyDescent="0.2">
      <c r="B10" s="10" t="s">
        <v>11</v>
      </c>
      <c r="C10" s="1"/>
      <c r="D10" s="1"/>
      <c r="E10" t="s">
        <v>56</v>
      </c>
      <c r="H10" s="7">
        <v>6</v>
      </c>
      <c r="I10" s="9">
        <f t="shared" si="1"/>
        <v>98.03</v>
      </c>
      <c r="J10" s="9">
        <f t="shared" si="2"/>
        <v>0</v>
      </c>
      <c r="K10" s="12">
        <f t="shared" si="0"/>
        <v>0</v>
      </c>
    </row>
    <row r="11" spans="1:11" ht="13.5" thickBot="1" x14ac:dyDescent="0.25">
      <c r="A11" s="6" t="s">
        <v>1</v>
      </c>
      <c r="B11" s="47" t="s">
        <v>0</v>
      </c>
      <c r="C11" s="47"/>
      <c r="D11" s="47"/>
      <c r="E11" s="7" t="s">
        <v>15</v>
      </c>
      <c r="F11" t="s">
        <v>17</v>
      </c>
      <c r="H11" s="7">
        <v>7</v>
      </c>
      <c r="I11" s="9">
        <f t="shared" si="1"/>
        <v>117.64</v>
      </c>
      <c r="J11" s="9">
        <f t="shared" si="2"/>
        <v>1.0169410164609873</v>
      </c>
      <c r="K11" s="12">
        <f t="shared" si="0"/>
        <v>6355.8813528811706</v>
      </c>
    </row>
    <row r="12" spans="1:11" ht="16.5" thickBot="1" x14ac:dyDescent="0.25">
      <c r="A12" s="7">
        <v>1</v>
      </c>
      <c r="B12" s="48" t="s">
        <v>3</v>
      </c>
      <c r="C12" s="48"/>
      <c r="D12" s="48"/>
      <c r="E12" s="7" t="s">
        <v>24</v>
      </c>
      <c r="F12" s="21">
        <v>9.5</v>
      </c>
      <c r="H12" s="7">
        <v>8</v>
      </c>
      <c r="I12" s="9">
        <f t="shared" si="1"/>
        <v>137.25</v>
      </c>
      <c r="J12" s="9">
        <f t="shared" si="2"/>
        <v>3.1985121917619508</v>
      </c>
      <c r="K12" s="12">
        <f t="shared" si="0"/>
        <v>19990.701198512194</v>
      </c>
    </row>
    <row r="13" spans="1:11" ht="16.5" thickBot="1" x14ac:dyDescent="0.25">
      <c r="A13" s="7">
        <v>2</v>
      </c>
      <c r="B13" s="48" t="s">
        <v>4</v>
      </c>
      <c r="C13" s="48"/>
      <c r="D13" s="48"/>
      <c r="E13" s="7" t="s">
        <v>25</v>
      </c>
      <c r="F13" s="22">
        <v>1</v>
      </c>
      <c r="H13" s="7">
        <v>9</v>
      </c>
      <c r="I13" s="9">
        <f t="shared" si="1"/>
        <v>156.86000000000001</v>
      </c>
      <c r="J13" s="9">
        <f t="shared" si="2"/>
        <v>4.8346210344395306</v>
      </c>
      <c r="K13" s="12">
        <f t="shared" si="0"/>
        <v>30216.381465247065</v>
      </c>
    </row>
    <row r="14" spans="1:11" ht="16.5" thickBot="1" x14ac:dyDescent="0.25">
      <c r="A14" s="7">
        <v>3</v>
      </c>
      <c r="B14" s="48" t="s">
        <v>5</v>
      </c>
      <c r="C14" s="48"/>
      <c r="D14" s="48"/>
      <c r="E14" s="7" t="s">
        <v>26</v>
      </c>
      <c r="F14" s="22">
        <v>1.2</v>
      </c>
      <c r="H14" s="7">
        <v>10</v>
      </c>
      <c r="I14" s="9">
        <f t="shared" si="1"/>
        <v>176.47</v>
      </c>
      <c r="J14" s="9">
        <f t="shared" si="2"/>
        <v>6.1071089284583335</v>
      </c>
      <c r="K14" s="12">
        <f t="shared" si="0"/>
        <v>38169.430802864583</v>
      </c>
    </row>
    <row r="15" spans="1:11" ht="16.5" thickBot="1" x14ac:dyDescent="0.25">
      <c r="A15" s="7">
        <v>4</v>
      </c>
      <c r="B15" s="48" t="s">
        <v>20</v>
      </c>
      <c r="C15" s="48"/>
      <c r="D15" s="48"/>
      <c r="E15" s="7" t="s">
        <v>27</v>
      </c>
      <c r="F15" s="22">
        <v>0.8</v>
      </c>
      <c r="H15" s="7">
        <v>11</v>
      </c>
      <c r="I15" s="9">
        <f t="shared" si="1"/>
        <v>196.07</v>
      </c>
      <c r="J15" s="9">
        <f t="shared" si="2"/>
        <v>7.1246060723468245</v>
      </c>
      <c r="K15" s="12">
        <f t="shared" si="0"/>
        <v>44528.787952167651</v>
      </c>
    </row>
    <row r="16" spans="1:11" x14ac:dyDescent="0.2">
      <c r="A16" s="1"/>
      <c r="B16" s="10"/>
      <c r="C16" s="10"/>
      <c r="D16" s="10"/>
      <c r="E16" s="2"/>
      <c r="H16" s="7">
        <v>12</v>
      </c>
      <c r="I16" s="9">
        <f t="shared" si="1"/>
        <v>215.68</v>
      </c>
      <c r="J16" s="9">
        <f t="shared" si="2"/>
        <v>7.9575499339201556</v>
      </c>
      <c r="K16" s="12">
        <f t="shared" si="0"/>
        <v>49734.687087000973</v>
      </c>
    </row>
    <row r="17" spans="1:11" x14ac:dyDescent="0.2">
      <c r="B17" s="10" t="s">
        <v>9</v>
      </c>
      <c r="C17" s="1"/>
      <c r="D17" s="1"/>
      <c r="E17" t="s">
        <v>57</v>
      </c>
      <c r="H17" s="7">
        <v>13</v>
      </c>
      <c r="I17" s="9">
        <f t="shared" si="1"/>
        <v>235.29</v>
      </c>
      <c r="J17" s="9">
        <f t="shared" si="2"/>
        <v>8.6516521181977826</v>
      </c>
      <c r="K17" s="12">
        <f t="shared" si="0"/>
        <v>54072.825738736145</v>
      </c>
    </row>
    <row r="18" spans="1:11" x14ac:dyDescent="0.2">
      <c r="A18" s="6" t="s">
        <v>1</v>
      </c>
      <c r="B18" s="47" t="s">
        <v>10</v>
      </c>
      <c r="C18" s="47"/>
      <c r="D18" s="47"/>
      <c r="E18" s="7" t="s">
        <v>15</v>
      </c>
      <c r="F18" t="s">
        <v>17</v>
      </c>
      <c r="H18" s="7">
        <v>14</v>
      </c>
      <c r="I18" s="9">
        <f t="shared" si="1"/>
        <v>254.9</v>
      </c>
      <c r="J18" s="9">
        <f t="shared" si="2"/>
        <v>9.2389567831840473</v>
      </c>
      <c r="K18" s="12">
        <f t="shared" si="0"/>
        <v>57743.479894900302</v>
      </c>
    </row>
    <row r="19" spans="1:11" x14ac:dyDescent="0.2">
      <c r="A19" s="7">
        <v>1</v>
      </c>
      <c r="B19" s="48" t="s">
        <v>6</v>
      </c>
      <c r="C19" s="48"/>
      <c r="D19" s="48"/>
      <c r="E19" s="7" t="s">
        <v>28</v>
      </c>
      <c r="F19" s="9">
        <v>0.7</v>
      </c>
      <c r="H19" s="7">
        <v>15</v>
      </c>
      <c r="I19" s="9">
        <f t="shared" si="1"/>
        <v>274.5</v>
      </c>
      <c r="J19" s="9">
        <f t="shared" si="2"/>
        <v>9.7421132387381189</v>
      </c>
      <c r="K19" s="12">
        <f t="shared" si="0"/>
        <v>60888.207742113242</v>
      </c>
    </row>
    <row r="20" spans="1:11" ht="15.75" x14ac:dyDescent="0.25">
      <c r="A20" s="7">
        <v>2</v>
      </c>
      <c r="B20" s="48" t="s">
        <v>7</v>
      </c>
      <c r="C20" s="48"/>
      <c r="D20" s="48"/>
      <c r="E20" s="7" t="s">
        <v>30</v>
      </c>
      <c r="F20" s="23">
        <v>50000</v>
      </c>
      <c r="H20" s="7">
        <v>16</v>
      </c>
      <c r="I20" s="9">
        <f t="shared" si="1"/>
        <v>294.11</v>
      </c>
      <c r="J20" s="9">
        <f t="shared" si="2"/>
        <v>10.178412638728609</v>
      </c>
      <c r="K20" s="12">
        <f>($F$21/8)*J20*$F$28</f>
        <v>63615.078992053808</v>
      </c>
    </row>
    <row r="21" spans="1:11" x14ac:dyDescent="0.2">
      <c r="A21" s="7">
        <v>3</v>
      </c>
      <c r="B21" s="11" t="s">
        <v>29</v>
      </c>
      <c r="C21" s="11"/>
      <c r="D21" s="11"/>
      <c r="E21" s="7" t="s">
        <v>31</v>
      </c>
      <c r="F21" s="18">
        <v>170</v>
      </c>
      <c r="H21" s="7">
        <v>17</v>
      </c>
      <c r="I21" s="9">
        <f t="shared" si="1"/>
        <v>313.72000000000003</v>
      </c>
      <c r="J21" s="9">
        <f t="shared" si="2"/>
        <v>10.56016766007691</v>
      </c>
      <c r="K21" s="12">
        <f t="shared" si="0"/>
        <v>66001.047875480697</v>
      </c>
    </row>
    <row r="22" spans="1:11" x14ac:dyDescent="0.2">
      <c r="A22" s="1"/>
      <c r="B22" s="10"/>
      <c r="C22" s="10"/>
      <c r="D22" s="10"/>
      <c r="E22" s="3"/>
      <c r="H22" s="7">
        <v>18</v>
      </c>
      <c r="I22" s="9">
        <f t="shared" si="1"/>
        <v>333.33</v>
      </c>
      <c r="J22" s="9">
        <f>MAX(0,$F$27*(1-($F$28*(1-$F$19)/(I22*$F$15))))</f>
        <v>10.897004936435922</v>
      </c>
      <c r="K22" s="12">
        <f t="shared" si="0"/>
        <v>68106.280852724507</v>
      </c>
    </row>
    <row r="23" spans="1:11" x14ac:dyDescent="0.2">
      <c r="A23" s="1"/>
      <c r="B23" s="10" t="s">
        <v>12</v>
      </c>
      <c r="C23" s="10"/>
      <c r="D23" s="10"/>
      <c r="E23" t="s">
        <v>58</v>
      </c>
      <c r="H23" s="7">
        <v>19</v>
      </c>
      <c r="I23" s="9">
        <f t="shared" si="1"/>
        <v>352.94</v>
      </c>
      <c r="J23" s="9">
        <f t="shared" si="2"/>
        <v>11.196411607086311</v>
      </c>
      <c r="K23" s="12">
        <f t="shared" si="0"/>
        <v>69977.572544289447</v>
      </c>
    </row>
    <row r="24" spans="1:11" x14ac:dyDescent="0.2">
      <c r="A24" s="6" t="s">
        <v>1</v>
      </c>
      <c r="B24" s="47" t="s">
        <v>13</v>
      </c>
      <c r="C24" s="47"/>
      <c r="D24" s="47"/>
      <c r="E24" s="7" t="s">
        <v>15</v>
      </c>
      <c r="F24" s="13" t="s">
        <v>17</v>
      </c>
      <c r="H24" s="7">
        <v>20</v>
      </c>
      <c r="I24" s="9">
        <f t="shared" si="1"/>
        <v>372.54</v>
      </c>
      <c r="J24" s="9">
        <f t="shared" si="2"/>
        <v>11.464168982136259</v>
      </c>
      <c r="K24" s="12">
        <f t="shared" si="0"/>
        <v>71651.056138351618</v>
      </c>
    </row>
    <row r="25" spans="1:11" x14ac:dyDescent="0.2">
      <c r="A25" s="7">
        <v>1</v>
      </c>
      <c r="B25" s="53" t="s">
        <v>14</v>
      </c>
      <c r="C25" s="53"/>
      <c r="D25" s="53"/>
      <c r="E25" s="9" t="s">
        <v>18</v>
      </c>
      <c r="F25" s="14">
        <f>F12*F13*F14/F19</f>
        <v>16.285714285714288</v>
      </c>
      <c r="H25" s="7">
        <v>21</v>
      </c>
      <c r="I25" s="9">
        <f t="shared" si="1"/>
        <v>392.15</v>
      </c>
      <c r="J25" s="9">
        <f t="shared" si="2"/>
        <v>11.705276985204385</v>
      </c>
      <c r="K25" s="12">
        <f t="shared" si="0"/>
        <v>73157.981157527407</v>
      </c>
    </row>
    <row r="26" spans="1:11" x14ac:dyDescent="0.2">
      <c r="A26" s="7">
        <v>2</v>
      </c>
      <c r="B26" s="53" t="s">
        <v>41</v>
      </c>
      <c r="C26" s="53"/>
      <c r="D26" s="53"/>
      <c r="E26" s="9" t="s">
        <v>32</v>
      </c>
      <c r="F26" s="14">
        <f>F5*F6*F7</f>
        <v>20.519999999999996</v>
      </c>
      <c r="H26" s="7">
        <v>22</v>
      </c>
      <c r="I26" s="9">
        <f t="shared" si="1"/>
        <v>411.76</v>
      </c>
      <c r="J26" s="9">
        <f t="shared" si="2"/>
        <v>11.923419532957929</v>
      </c>
      <c r="K26" s="12">
        <f t="shared" si="0"/>
        <v>74521.372080987057</v>
      </c>
    </row>
    <row r="27" spans="1:11" x14ac:dyDescent="0.2">
      <c r="A27" s="7">
        <v>3</v>
      </c>
      <c r="B27" s="50" t="s">
        <v>33</v>
      </c>
      <c r="C27" s="51"/>
      <c r="D27" s="52"/>
      <c r="E27" s="9" t="s">
        <v>16</v>
      </c>
      <c r="F27" s="14">
        <f>MIN(F25:F26)</f>
        <v>16.285714285714288</v>
      </c>
      <c r="H27" s="7">
        <v>23</v>
      </c>
      <c r="I27" s="9">
        <f t="shared" si="1"/>
        <v>431.37</v>
      </c>
      <c r="J27" s="9">
        <f t="shared" si="2"/>
        <v>12.12172864138353</v>
      </c>
      <c r="K27" s="12">
        <f t="shared" si="0"/>
        <v>75760.804008647072</v>
      </c>
    </row>
    <row r="28" spans="1:11" x14ac:dyDescent="0.2">
      <c r="A28" s="7">
        <v>4</v>
      </c>
      <c r="B28" s="50" t="s">
        <v>51</v>
      </c>
      <c r="C28" s="51"/>
      <c r="D28" s="52"/>
      <c r="E28" s="9" t="s">
        <v>34</v>
      </c>
      <c r="F28" s="14">
        <f>F20/(F21)</f>
        <v>294.11764705882354</v>
      </c>
      <c r="H28" s="7">
        <v>24</v>
      </c>
      <c r="I28" s="9">
        <f t="shared" si="1"/>
        <v>450.98</v>
      </c>
      <c r="J28" s="9">
        <f t="shared" si="2"/>
        <v>12.302791567644844</v>
      </c>
      <c r="K28" s="12">
        <f t="shared" si="0"/>
        <v>76892.44729778028</v>
      </c>
    </row>
    <row r="29" spans="1:11" x14ac:dyDescent="0.2">
      <c r="A29" s="7">
        <v>5</v>
      </c>
      <c r="B29" s="50" t="s">
        <v>52</v>
      </c>
      <c r="C29" s="51"/>
      <c r="D29" s="52"/>
      <c r="E29" s="9" t="s">
        <v>35</v>
      </c>
      <c r="F29" s="14">
        <f>F27*F19</f>
        <v>11.4</v>
      </c>
      <c r="H29" s="7">
        <v>25</v>
      </c>
      <c r="I29" s="9">
        <f t="shared" si="1"/>
        <v>470.58</v>
      </c>
      <c r="J29" s="9">
        <f t="shared" si="2"/>
        <v>12.468683201956035</v>
      </c>
      <c r="K29" s="12">
        <f t="shared" si="0"/>
        <v>77929.270012225214</v>
      </c>
    </row>
    <row r="30" spans="1:11" x14ac:dyDescent="0.2">
      <c r="A30" s="7">
        <v>6</v>
      </c>
      <c r="B30" s="50" t="s">
        <v>53</v>
      </c>
      <c r="C30" s="51"/>
      <c r="D30" s="52"/>
      <c r="E30" s="9" t="s">
        <v>36</v>
      </c>
      <c r="F30" s="14">
        <f>F28*F15</f>
        <v>235.29411764705884</v>
      </c>
      <c r="H30" s="7">
        <v>26</v>
      </c>
      <c r="I30" s="9">
        <f t="shared" si="1"/>
        <v>490.19</v>
      </c>
      <c r="J30" s="9">
        <f>MAX(0,$F$27*(1-($F$28*(1-$F$19)/(I30*$F$15))))</f>
        <v>12.621383133722288</v>
      </c>
      <c r="K30" s="12">
        <f t="shared" si="0"/>
        <v>78883.644585764298</v>
      </c>
    </row>
    <row r="31" spans="1:11" x14ac:dyDescent="0.2">
      <c r="A31" s="7">
        <v>7</v>
      </c>
      <c r="B31" s="50" t="s">
        <v>37</v>
      </c>
      <c r="C31" s="51"/>
      <c r="D31" s="52"/>
      <c r="E31" s="9" t="s">
        <v>38</v>
      </c>
      <c r="F31" s="14">
        <f>F27*F28*(1-F19)</f>
        <v>1436.974789915967</v>
      </c>
      <c r="H31" s="7">
        <v>27</v>
      </c>
      <c r="I31" s="9">
        <f t="shared" si="1"/>
        <v>509.8</v>
      </c>
      <c r="J31" s="9">
        <f t="shared" si="2"/>
        <v>12.762335534449168</v>
      </c>
      <c r="K31" s="12">
        <f>($F$21/8)*J31*$F$28</f>
        <v>79764.597090307303</v>
      </c>
    </row>
    <row r="32" spans="1:11" x14ac:dyDescent="0.2">
      <c r="A32" s="7">
        <v>8</v>
      </c>
      <c r="B32" s="50" t="s">
        <v>54</v>
      </c>
      <c r="C32" s="51"/>
      <c r="D32" s="52"/>
      <c r="E32" s="9" t="s">
        <v>45</v>
      </c>
      <c r="F32" s="14">
        <f>MAX(0,$F$27*(1-($F$28*(1-$F$19)/(F30*$F$15))))</f>
        <v>8.6517857142857153</v>
      </c>
      <c r="H32" s="7">
        <v>28</v>
      </c>
      <c r="I32" s="9">
        <f t="shared" si="1"/>
        <v>529.41</v>
      </c>
      <c r="J32" s="9">
        <f t="shared" si="2"/>
        <v>12.892845833295635</v>
      </c>
      <c r="K32" s="12">
        <f t="shared" si="0"/>
        <v>80580.286458097718</v>
      </c>
    </row>
    <row r="33" spans="1:11" x14ac:dyDescent="0.2">
      <c r="A33" s="7">
        <v>9</v>
      </c>
      <c r="B33" s="50" t="s">
        <v>44</v>
      </c>
      <c r="C33" s="51"/>
      <c r="D33" s="52"/>
      <c r="E33" s="9" t="s">
        <v>43</v>
      </c>
      <c r="F33" s="40">
        <f>($F$21/8)*F32*F28</f>
        <v>54073.660714285717</v>
      </c>
      <c r="H33" s="7">
        <v>29</v>
      </c>
      <c r="I33" s="9">
        <f t="shared" si="1"/>
        <v>549.01</v>
      </c>
      <c r="J33" s="9">
        <f t="shared" si="2"/>
        <v>13.013973356778644</v>
      </c>
      <c r="K33" s="12">
        <f t="shared" si="0"/>
        <v>81337.333479866531</v>
      </c>
    </row>
    <row r="34" spans="1:11" x14ac:dyDescent="0.2">
      <c r="A34" s="7">
        <v>10</v>
      </c>
      <c r="B34" s="50" t="s">
        <v>46</v>
      </c>
      <c r="C34" s="51"/>
      <c r="D34" s="52"/>
      <c r="E34" s="9" t="s">
        <v>47</v>
      </c>
      <c r="F34" s="14">
        <f>F33/F20</f>
        <v>1.0814732142857144</v>
      </c>
      <c r="H34" s="7">
        <v>30</v>
      </c>
      <c r="I34" s="9">
        <f t="shared" si="1"/>
        <v>568.62</v>
      </c>
      <c r="J34" s="9">
        <f t="shared" si="2"/>
        <v>13.12680589804773</v>
      </c>
      <c r="K34" s="12">
        <f t="shared" si="0"/>
        <v>82042.536862798312</v>
      </c>
    </row>
  </sheetData>
  <mergeCells count="22">
    <mergeCell ref="B29:D29"/>
    <mergeCell ref="B25:D25"/>
    <mergeCell ref="B26:D26"/>
    <mergeCell ref="B19:D19"/>
    <mergeCell ref="B20:D20"/>
    <mergeCell ref="B24:D24"/>
    <mergeCell ref="B27:D27"/>
    <mergeCell ref="B28:D28"/>
    <mergeCell ref="B34:D34"/>
    <mergeCell ref="B30:D30"/>
    <mergeCell ref="B31:D31"/>
    <mergeCell ref="B32:D32"/>
    <mergeCell ref="B33:D33"/>
    <mergeCell ref="C1:J1"/>
    <mergeCell ref="B11:D11"/>
    <mergeCell ref="B18:D18"/>
    <mergeCell ref="B12:D12"/>
    <mergeCell ref="B13:D13"/>
    <mergeCell ref="B15:D15"/>
    <mergeCell ref="B14:D14"/>
    <mergeCell ref="B4:D4"/>
    <mergeCell ref="A3:D3"/>
  </mergeCells>
  <phoneticPr fontId="0" type="noConversion"/>
  <pageMargins left="1.7716535433070868" right="0.39370078740157483" top="0.59055118110236227" bottom="0.59055118110236227" header="0.51181102362204722" footer="0.51181102362204722"/>
  <pageSetup paperSize="9" scale="90" orientation="landscape" blackAndWhite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6"/>
  <sheetViews>
    <sheetView tabSelected="1" topLeftCell="A37" zoomScale="160" zoomScaleNormal="160" workbookViewId="0">
      <selection activeCell="L56" sqref="L56"/>
    </sheetView>
  </sheetViews>
  <sheetFormatPr defaultRowHeight="12.75" x14ac:dyDescent="0.2"/>
  <cols>
    <col min="1" max="1" width="10.5703125" customWidth="1"/>
    <col min="6" max="6" width="10.7109375" customWidth="1"/>
    <col min="15" max="15" width="13.7109375" customWidth="1"/>
  </cols>
  <sheetData>
    <row r="1" spans="1:4" ht="45" customHeight="1" x14ac:dyDescent="0.2">
      <c r="A1" s="30" t="s">
        <v>104</v>
      </c>
      <c r="B1" s="30" t="s">
        <v>95</v>
      </c>
      <c r="C1" s="29" t="s">
        <v>16</v>
      </c>
      <c r="D1" s="29" t="s">
        <v>43</v>
      </c>
    </row>
    <row r="2" spans="1:4" x14ac:dyDescent="0.2">
      <c r="A2" s="33">
        <v>0</v>
      </c>
      <c r="B2" s="3">
        <v>0</v>
      </c>
      <c r="C2" s="3">
        <f>'Расчет активности'!$F$27</f>
        <v>16.285714285714288</v>
      </c>
      <c r="D2" s="3">
        <v>0</v>
      </c>
    </row>
    <row r="3" spans="1:4" x14ac:dyDescent="0.2">
      <c r="A3" s="4">
        <f>'Расчет активности'!I7</f>
        <v>39.21</v>
      </c>
      <c r="B3" s="5">
        <f>'Расчет активности'!J7</f>
        <v>0</v>
      </c>
      <c r="C3" s="3">
        <f>'Расчет активности'!$F$27</f>
        <v>16.285714285714288</v>
      </c>
      <c r="D3" s="5">
        <f>'Расчет активности'!K7</f>
        <v>0</v>
      </c>
    </row>
    <row r="4" spans="1:4" x14ac:dyDescent="0.2">
      <c r="A4" s="4">
        <f>'Расчет активности'!I9</f>
        <v>78.430000000000007</v>
      </c>
      <c r="B4" s="5">
        <f>'Расчет активности'!J9</f>
        <v>0</v>
      </c>
      <c r="C4" s="3">
        <f>'Расчет активности'!$F$27</f>
        <v>16.285714285714288</v>
      </c>
      <c r="D4" s="5">
        <f>'Расчет активности'!K9</f>
        <v>0</v>
      </c>
    </row>
    <row r="5" spans="1:4" x14ac:dyDescent="0.2">
      <c r="A5" s="4">
        <f>'Расчет активности'!I11</f>
        <v>117.64</v>
      </c>
      <c r="B5" s="5">
        <f>'Расчет активности'!J11</f>
        <v>1.0169410164609873</v>
      </c>
      <c r="C5" s="3">
        <f>'Расчет активности'!$F$27</f>
        <v>16.285714285714288</v>
      </c>
      <c r="D5" s="5">
        <f>'Расчет активности'!K11</f>
        <v>6355.8813528811706</v>
      </c>
    </row>
    <row r="6" spans="1:4" x14ac:dyDescent="0.2">
      <c r="A6" s="4">
        <f>'Расчет активности'!I13</f>
        <v>156.86000000000001</v>
      </c>
      <c r="B6" s="5">
        <f>'Расчет активности'!J13</f>
        <v>4.8346210344395306</v>
      </c>
      <c r="C6" s="3">
        <f>'Расчет активности'!$F$27</f>
        <v>16.285714285714288</v>
      </c>
      <c r="D6" s="5">
        <f>'Расчет активности'!K13</f>
        <v>30216.381465247065</v>
      </c>
    </row>
    <row r="7" spans="1:4" x14ac:dyDescent="0.2">
      <c r="A7" s="4">
        <f>'Расчет активности'!I15</f>
        <v>196.07</v>
      </c>
      <c r="B7" s="5">
        <f>'Расчет активности'!J15</f>
        <v>7.1246060723468245</v>
      </c>
      <c r="C7" s="3">
        <f>'Расчет активности'!$F$27</f>
        <v>16.285714285714288</v>
      </c>
      <c r="D7" s="5">
        <f>'Расчет активности'!K15</f>
        <v>44528.787952167651</v>
      </c>
    </row>
    <row r="8" spans="1:4" x14ac:dyDescent="0.2">
      <c r="A8" s="4">
        <f>'Расчет активности'!I17</f>
        <v>235.29</v>
      </c>
      <c r="B8" s="5">
        <f>'Расчет активности'!J17</f>
        <v>8.6516521181977826</v>
      </c>
      <c r="C8" s="3">
        <f>'Расчет активности'!$F$27</f>
        <v>16.285714285714288</v>
      </c>
      <c r="D8" s="5">
        <f>'Расчет активности'!K17</f>
        <v>54072.825738736145</v>
      </c>
    </row>
    <row r="9" spans="1:4" x14ac:dyDescent="0.2">
      <c r="A9" s="4">
        <f>'Расчет активности'!I19</f>
        <v>274.5</v>
      </c>
      <c r="B9" s="5">
        <f>'Расчет активности'!J19</f>
        <v>9.7421132387381189</v>
      </c>
      <c r="C9" s="3">
        <f>'Расчет активности'!$F$27</f>
        <v>16.285714285714288</v>
      </c>
      <c r="D9" s="5">
        <f>'Расчет активности'!K19</f>
        <v>60888.207742113242</v>
      </c>
    </row>
    <row r="10" spans="1:4" x14ac:dyDescent="0.2">
      <c r="A10" s="4">
        <f>'Расчет активности'!I21</f>
        <v>313.72000000000003</v>
      </c>
      <c r="B10" s="5">
        <f>'Расчет активности'!J21</f>
        <v>10.56016766007691</v>
      </c>
      <c r="C10" s="3">
        <f>'Расчет активности'!$F$27</f>
        <v>16.285714285714288</v>
      </c>
      <c r="D10" s="5">
        <f>'Расчет активности'!K21</f>
        <v>66001.047875480697</v>
      </c>
    </row>
    <row r="11" spans="1:4" x14ac:dyDescent="0.2">
      <c r="A11" s="4">
        <f>'Расчет активности'!I23</f>
        <v>352.94</v>
      </c>
      <c r="B11" s="5">
        <f>'Расчет активности'!J23</f>
        <v>11.196411607086311</v>
      </c>
      <c r="C11" s="3">
        <f>'Расчет активности'!$F$27</f>
        <v>16.285714285714288</v>
      </c>
      <c r="D11" s="5">
        <f>'Расчет активности'!K23</f>
        <v>69977.572544289447</v>
      </c>
    </row>
    <row r="12" spans="1:4" x14ac:dyDescent="0.2">
      <c r="A12" s="4">
        <f>'Расчет активности'!I25</f>
        <v>392.15</v>
      </c>
      <c r="B12" s="5">
        <f>'Расчет активности'!J25</f>
        <v>11.705276985204385</v>
      </c>
      <c r="C12" s="3">
        <f>'Расчет активности'!$F$27</f>
        <v>16.285714285714288</v>
      </c>
      <c r="D12" s="5">
        <f>'Расчет активности'!K25</f>
        <v>73157.981157527407</v>
      </c>
    </row>
    <row r="13" spans="1:4" x14ac:dyDescent="0.2">
      <c r="A13" s="4">
        <f>'Расчет активности'!I27</f>
        <v>431.37</v>
      </c>
      <c r="B13" s="5">
        <f>'Расчет активности'!J27</f>
        <v>12.12172864138353</v>
      </c>
      <c r="C13" s="3">
        <f>'Расчет активности'!$F$27</f>
        <v>16.285714285714288</v>
      </c>
      <c r="D13" s="5">
        <f>'Расчет активности'!K27</f>
        <v>75760.804008647072</v>
      </c>
    </row>
    <row r="14" spans="1:4" x14ac:dyDescent="0.2">
      <c r="A14" s="4">
        <f>'Расчет активности'!I29</f>
        <v>470.58</v>
      </c>
      <c r="B14" s="5">
        <f>'Расчет активности'!J29</f>
        <v>12.468683201956035</v>
      </c>
      <c r="C14" s="3">
        <f>'Расчет активности'!$F$27</f>
        <v>16.285714285714288</v>
      </c>
      <c r="D14" s="5">
        <f>'Расчет активности'!K29</f>
        <v>77929.270012225214</v>
      </c>
    </row>
    <row r="15" spans="1:4" x14ac:dyDescent="0.2">
      <c r="A15" s="4">
        <f>'Расчет активности'!I31</f>
        <v>509.8</v>
      </c>
      <c r="B15" s="5">
        <f>'Расчет активности'!J31</f>
        <v>12.762335534449168</v>
      </c>
      <c r="C15" s="3">
        <f>'Расчет активности'!$F$27</f>
        <v>16.285714285714288</v>
      </c>
      <c r="D15" s="5">
        <f>'Расчет активности'!K31</f>
        <v>79764.597090307303</v>
      </c>
    </row>
    <row r="16" spans="1:4" x14ac:dyDescent="0.2">
      <c r="A16" s="4">
        <f>'Расчет активности'!I33</f>
        <v>549.01</v>
      </c>
      <c r="B16" s="5">
        <f>'Расчет активности'!J33</f>
        <v>13.013973356778644</v>
      </c>
      <c r="C16" s="3">
        <f>'Расчет активности'!$F$27</f>
        <v>16.285714285714288</v>
      </c>
      <c r="D16" s="5">
        <f>'Расчет активности'!K33</f>
        <v>81337.333479866531</v>
      </c>
    </row>
    <row r="31" spans="2:2" x14ac:dyDescent="0.2">
      <c r="B31" t="s">
        <v>59</v>
      </c>
    </row>
    <row r="32" spans="2:2" x14ac:dyDescent="0.2">
      <c r="B32" t="s">
        <v>110</v>
      </c>
    </row>
    <row r="33" spans="1:15" x14ac:dyDescent="0.2">
      <c r="B33" t="s">
        <v>111</v>
      </c>
      <c r="G33" s="20" t="s">
        <v>60</v>
      </c>
      <c r="H33" s="20">
        <v>11.7</v>
      </c>
      <c r="I33" s="20" t="s">
        <v>61</v>
      </c>
    </row>
    <row r="35" spans="1:15" x14ac:dyDescent="0.2">
      <c r="B35" t="s">
        <v>64</v>
      </c>
    </row>
    <row r="36" spans="1:15" x14ac:dyDescent="0.2">
      <c r="B36" t="s">
        <v>65</v>
      </c>
      <c r="I36" s="20" t="s">
        <v>66</v>
      </c>
      <c r="J36" s="20">
        <v>314</v>
      </c>
      <c r="K36" s="20" t="s">
        <v>63</v>
      </c>
      <c r="L36" s="1"/>
      <c r="M36" s="1"/>
      <c r="N36" s="1"/>
    </row>
    <row r="38" spans="1:15" x14ac:dyDescent="0.2">
      <c r="B38" t="s">
        <v>70</v>
      </c>
    </row>
    <row r="40" spans="1:15" x14ac:dyDescent="0.2">
      <c r="B40" t="s">
        <v>67</v>
      </c>
      <c r="C40" s="19" t="s">
        <v>62</v>
      </c>
      <c r="D40" s="20">
        <f>H33*400</f>
        <v>4680</v>
      </c>
      <c r="E40" s="20" t="s">
        <v>63</v>
      </c>
      <c r="G40" s="19" t="s">
        <v>68</v>
      </c>
      <c r="H40" s="20">
        <f>D40*20</f>
        <v>93600</v>
      </c>
      <c r="I40" s="20" t="s">
        <v>63</v>
      </c>
    </row>
    <row r="41" spans="1:15" x14ac:dyDescent="0.2">
      <c r="B41" t="s">
        <v>69</v>
      </c>
      <c r="C41" s="19" t="s">
        <v>62</v>
      </c>
      <c r="D41" s="20">
        <f>J36*10</f>
        <v>3140</v>
      </c>
      <c r="E41" s="20" t="s">
        <v>63</v>
      </c>
      <c r="G41" s="19" t="s">
        <v>68</v>
      </c>
      <c r="H41" s="20">
        <f>D41*20</f>
        <v>62800</v>
      </c>
      <c r="I41" s="20" t="s">
        <v>63</v>
      </c>
    </row>
    <row r="43" spans="1:15" ht="15" x14ac:dyDescent="0.2">
      <c r="A43" s="24" t="s">
        <v>83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5"/>
      <c r="O43" s="25"/>
    </row>
    <row r="44" spans="1:15" ht="26.25" customHeight="1" x14ac:dyDescent="0.2">
      <c r="A44" s="26" t="s">
        <v>81</v>
      </c>
      <c r="B44" s="54" t="s">
        <v>71</v>
      </c>
      <c r="C44" s="54"/>
      <c r="D44" s="54"/>
      <c r="E44" s="54"/>
      <c r="F44" s="54"/>
      <c r="G44" s="55" t="s">
        <v>72</v>
      </c>
      <c r="H44" s="55"/>
      <c r="I44" s="55"/>
      <c r="J44" s="55"/>
      <c r="K44" s="55"/>
      <c r="L44" s="55"/>
      <c r="M44" s="55"/>
    </row>
    <row r="45" spans="1:15" x14ac:dyDescent="0.2">
      <c r="A45" s="32" t="s">
        <v>102</v>
      </c>
      <c r="B45" s="47" t="s">
        <v>76</v>
      </c>
      <c r="C45" s="47"/>
      <c r="D45" s="47"/>
      <c r="E45" s="47"/>
      <c r="F45" s="47"/>
      <c r="G45" s="7" t="s">
        <v>16</v>
      </c>
      <c r="H45" s="32" t="s">
        <v>40</v>
      </c>
      <c r="I45" s="7" t="s">
        <v>73</v>
      </c>
      <c r="J45" s="7" t="s">
        <v>74</v>
      </c>
      <c r="K45" s="7" t="s">
        <v>35</v>
      </c>
      <c r="L45" s="7" t="s">
        <v>75</v>
      </c>
      <c r="M45" s="7" t="s">
        <v>61</v>
      </c>
    </row>
    <row r="46" spans="1:15" x14ac:dyDescent="0.2">
      <c r="A46" s="7">
        <v>15</v>
      </c>
      <c r="B46" s="47" t="s">
        <v>77</v>
      </c>
      <c r="C46" s="47"/>
      <c r="D46" s="47"/>
      <c r="E46" s="47"/>
      <c r="F46" s="47"/>
      <c r="G46" s="32" t="s">
        <v>16</v>
      </c>
      <c r="H46" s="7" t="s">
        <v>40</v>
      </c>
      <c r="I46" s="7" t="s">
        <v>73</v>
      </c>
      <c r="J46" s="7" t="s">
        <v>74</v>
      </c>
      <c r="K46" s="7" t="s">
        <v>35</v>
      </c>
      <c r="L46" s="7" t="s">
        <v>75</v>
      </c>
      <c r="M46" s="7" t="s">
        <v>61</v>
      </c>
    </row>
    <row r="47" spans="1:15" x14ac:dyDescent="0.2">
      <c r="A47" s="7">
        <v>19</v>
      </c>
      <c r="B47" s="47" t="s">
        <v>78</v>
      </c>
      <c r="C47" s="47"/>
      <c r="D47" s="47"/>
      <c r="E47" s="47"/>
      <c r="F47" s="47"/>
      <c r="G47" s="7" t="s">
        <v>16</v>
      </c>
      <c r="H47" s="7" t="s">
        <v>40</v>
      </c>
      <c r="I47" s="7" t="s">
        <v>73</v>
      </c>
      <c r="J47" s="7" t="s">
        <v>74</v>
      </c>
      <c r="K47" s="7" t="s">
        <v>35</v>
      </c>
      <c r="L47" s="7" t="s">
        <v>75</v>
      </c>
      <c r="M47" s="32" t="s">
        <v>61</v>
      </c>
    </row>
    <row r="48" spans="1:15" x14ac:dyDescent="0.2">
      <c r="A48" s="32" t="s">
        <v>82</v>
      </c>
      <c r="B48" s="47" t="s">
        <v>79</v>
      </c>
      <c r="C48" s="47"/>
      <c r="D48" s="47"/>
      <c r="E48" s="47"/>
      <c r="F48" s="47"/>
      <c r="G48" s="7" t="s">
        <v>16</v>
      </c>
      <c r="H48" s="7" t="s">
        <v>40</v>
      </c>
      <c r="I48" s="32" t="s">
        <v>73</v>
      </c>
      <c r="J48" s="7" t="s">
        <v>74</v>
      </c>
      <c r="K48" s="7" t="s">
        <v>35</v>
      </c>
      <c r="L48" s="7" t="s">
        <v>75</v>
      </c>
      <c r="M48" s="7" t="s">
        <v>61</v>
      </c>
    </row>
    <row r="49" spans="1:14" x14ac:dyDescent="0.2">
      <c r="A49" s="7" t="s">
        <v>84</v>
      </c>
      <c r="B49" s="47" t="s">
        <v>80</v>
      </c>
      <c r="C49" s="47"/>
      <c r="D49" s="47"/>
      <c r="E49" s="47"/>
      <c r="F49" s="47"/>
      <c r="G49" s="7" t="s">
        <v>16</v>
      </c>
      <c r="H49" s="7" t="s">
        <v>40</v>
      </c>
      <c r="I49" s="7" t="s">
        <v>73</v>
      </c>
      <c r="J49" s="32" t="s">
        <v>74</v>
      </c>
      <c r="K49" s="7" t="s">
        <v>35</v>
      </c>
      <c r="L49" s="7" t="s">
        <v>75</v>
      </c>
      <c r="M49" s="7" t="s">
        <v>61</v>
      </c>
    </row>
    <row r="50" spans="1:14" x14ac:dyDescent="0.2">
      <c r="A50" s="7">
        <v>13</v>
      </c>
      <c r="B50" s="47" t="s">
        <v>85</v>
      </c>
      <c r="C50" s="47"/>
      <c r="D50" s="47"/>
      <c r="E50" s="47"/>
      <c r="F50" s="47"/>
      <c r="G50" s="7" t="s">
        <v>16</v>
      </c>
      <c r="H50" s="7" t="s">
        <v>40</v>
      </c>
      <c r="I50" s="7" t="s">
        <v>73</v>
      </c>
      <c r="J50" s="7" t="s">
        <v>74</v>
      </c>
      <c r="K50" s="32" t="s">
        <v>35</v>
      </c>
      <c r="L50" s="7" t="s">
        <v>75</v>
      </c>
      <c r="M50" s="7" t="s">
        <v>61</v>
      </c>
    </row>
    <row r="51" spans="1:14" ht="29.25" customHeight="1" x14ac:dyDescent="0.2">
      <c r="A51" s="27">
        <v>15</v>
      </c>
      <c r="B51" s="56" t="s">
        <v>86</v>
      </c>
      <c r="C51" s="57"/>
      <c r="D51" s="57"/>
      <c r="E51" s="57"/>
      <c r="F51" s="58"/>
      <c r="G51" s="27" t="s">
        <v>16</v>
      </c>
      <c r="H51" s="27" t="s">
        <v>40</v>
      </c>
      <c r="I51" s="27" t="s">
        <v>73</v>
      </c>
      <c r="J51" s="27" t="s">
        <v>74</v>
      </c>
      <c r="K51" s="27" t="s">
        <v>35</v>
      </c>
      <c r="L51" s="63" t="s">
        <v>75</v>
      </c>
      <c r="M51" s="27" t="s">
        <v>61</v>
      </c>
    </row>
    <row r="52" spans="1:14" ht="25.5" customHeight="1" x14ac:dyDescent="0.2">
      <c r="A52" s="28">
        <v>19</v>
      </c>
      <c r="B52" s="59" t="s">
        <v>87</v>
      </c>
      <c r="C52" s="59"/>
      <c r="D52" s="59"/>
      <c r="E52" s="59"/>
      <c r="F52" s="59"/>
      <c r="G52" s="60" t="s">
        <v>89</v>
      </c>
      <c r="H52" s="60"/>
      <c r="I52" s="64" t="s">
        <v>90</v>
      </c>
      <c r="J52" s="64"/>
      <c r="K52" s="64"/>
      <c r="L52" s="60" t="s">
        <v>88</v>
      </c>
      <c r="M52" s="60"/>
    </row>
    <row r="53" spans="1:14" ht="45" customHeight="1" x14ac:dyDescent="0.2">
      <c r="A53" s="27">
        <v>15</v>
      </c>
      <c r="B53" s="54" t="s">
        <v>91</v>
      </c>
      <c r="C53" s="54"/>
      <c r="D53" s="54"/>
      <c r="E53" s="54"/>
      <c r="F53" s="54"/>
      <c r="G53" s="61" t="s">
        <v>92</v>
      </c>
      <c r="H53" s="61"/>
      <c r="I53" s="61" t="s">
        <v>93</v>
      </c>
      <c r="J53" s="61"/>
      <c r="K53" s="61"/>
      <c r="L53" s="65" t="s">
        <v>105</v>
      </c>
      <c r="M53" s="65"/>
      <c r="N53" s="65"/>
    </row>
    <row r="54" spans="1:14" ht="34.5" customHeight="1" x14ac:dyDescent="0.2">
      <c r="A54" s="27" t="s">
        <v>94</v>
      </c>
      <c r="B54" s="61" t="s">
        <v>97</v>
      </c>
      <c r="C54" s="61"/>
      <c r="D54" s="61"/>
      <c r="E54" s="61"/>
      <c r="F54" s="61"/>
      <c r="G54" s="65" t="s">
        <v>96</v>
      </c>
      <c r="H54" s="65"/>
      <c r="I54" s="61" t="s">
        <v>98</v>
      </c>
      <c r="J54" s="61"/>
      <c r="K54" s="61"/>
      <c r="L54" s="61" t="s">
        <v>99</v>
      </c>
      <c r="M54" s="61"/>
      <c r="N54" s="61"/>
    </row>
    <row r="55" spans="1:14" x14ac:dyDescent="0.2">
      <c r="A55" s="7" t="s">
        <v>101</v>
      </c>
      <c r="B55" s="47" t="s">
        <v>100</v>
      </c>
      <c r="C55" s="47"/>
      <c r="D55" s="47"/>
      <c r="E55" s="47"/>
      <c r="F55" s="47"/>
      <c r="G55" s="66">
        <f>('Расчет активности'!$F$34-1)</f>
        <v>8.1473214285714413E-2</v>
      </c>
      <c r="H55" s="66"/>
      <c r="I55" s="62">
        <f>0.6*('Расчет активности'!$F$34-1)</f>
        <v>4.8883928571428648E-2</v>
      </c>
      <c r="J55" s="62"/>
      <c r="K55" s="62"/>
      <c r="L55" s="62">
        <f>1.2*('Расчет активности'!$F$34-1)</f>
        <v>9.7767857142857295E-2</v>
      </c>
      <c r="M55" s="62"/>
      <c r="N55" s="62"/>
    </row>
    <row r="56" spans="1:14" x14ac:dyDescent="0.2">
      <c r="A56" s="31" t="s">
        <v>112</v>
      </c>
      <c r="B56" s="31"/>
      <c r="C56" s="31"/>
      <c r="D56" s="31"/>
      <c r="F56" s="31" t="s">
        <v>103</v>
      </c>
      <c r="G56" s="31"/>
      <c r="H56" s="31"/>
      <c r="I56" s="31"/>
      <c r="J56" s="31"/>
      <c r="K56" s="31"/>
    </row>
  </sheetData>
  <mergeCells count="25">
    <mergeCell ref="B54:F54"/>
    <mergeCell ref="G54:H54"/>
    <mergeCell ref="I54:K54"/>
    <mergeCell ref="L54:N54"/>
    <mergeCell ref="G55:H55"/>
    <mergeCell ref="I55:K55"/>
    <mergeCell ref="L55:N55"/>
    <mergeCell ref="B55:F55"/>
    <mergeCell ref="L52:M52"/>
    <mergeCell ref="B53:F53"/>
    <mergeCell ref="G53:H53"/>
    <mergeCell ref="I53:K53"/>
    <mergeCell ref="L53:N53"/>
    <mergeCell ref="I52:K52"/>
    <mergeCell ref="B49:F49"/>
    <mergeCell ref="B50:F50"/>
    <mergeCell ref="B51:F51"/>
    <mergeCell ref="B52:F52"/>
    <mergeCell ref="G52:H52"/>
    <mergeCell ref="B48:F48"/>
    <mergeCell ref="B44:F44"/>
    <mergeCell ref="G44:M44"/>
    <mergeCell ref="B45:F45"/>
    <mergeCell ref="B46:F46"/>
    <mergeCell ref="B47:F47"/>
  </mergeCells>
  <phoneticPr fontId="6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Инд задание </vt:lpstr>
      <vt:lpstr>Расчет активности</vt:lpstr>
      <vt:lpstr>Диаграмма активности</vt:lpstr>
    </vt:vector>
  </TitlesOfParts>
  <Company>asu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oskorbin</dc:creator>
  <cp:lastModifiedBy>Ruslan Vdovin</cp:lastModifiedBy>
  <cp:lastPrinted>2004-06-02T04:35:05Z</cp:lastPrinted>
  <dcterms:created xsi:type="dcterms:W3CDTF">2004-05-30T14:12:53Z</dcterms:created>
  <dcterms:modified xsi:type="dcterms:W3CDTF">2026-09-20T11:39:54Z</dcterms:modified>
</cp:coreProperties>
</file>