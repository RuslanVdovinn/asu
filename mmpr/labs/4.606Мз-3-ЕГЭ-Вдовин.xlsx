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lan\Downloads\"/>
    </mc:Choice>
  </mc:AlternateContent>
  <xr:revisionPtr revIDLastSave="0" documentId="13_ncr:1_{F6BD5C9B-AF66-4C2E-934A-A49A4A4ACA69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Инд задание " sheetId="9" r:id="rId1"/>
    <sheet name="Настройка параметров" sheetId="1" r:id="rId2"/>
    <sheet name="Динамика обуч-ЭТАП 1" sheetId="5" r:id="rId3"/>
    <sheet name="Динамика обуч-ЭТАП-2 " sheetId="11" r:id="rId4"/>
  </sheets>
  <definedNames>
    <definedName name="solver_adj" localSheetId="2" hidden="1">'Динамика обуч-ЭТАП 1'!$A$15:$C$15</definedName>
    <definedName name="solver_adj" localSheetId="3" hidden="1">'Динамика обуч-ЭТАП-2 '!$E$7:$F$7</definedName>
    <definedName name="solver_adj" localSheetId="1" hidden="1">'Настройка параметров'!$C$16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1" hidden="1">2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2" hidden="1">'Динамика обуч-ЭТАП 1'!$A$15</definedName>
    <definedName name="solver_lhs1" localSheetId="3" hidden="1">'Динамика обуч-ЭТАП-2 '!$E$7:$F$7</definedName>
    <definedName name="solver_lhs1" localSheetId="1" hidden="1">'Настройка параметров'!$A$16</definedName>
    <definedName name="solver_lhs2" localSheetId="2" hidden="1">'Динамика обуч-ЭТАП 1'!$A$15</definedName>
    <definedName name="solver_lhs2" localSheetId="3" hidden="1">'Динамика обуч-ЭТАП-2 '!$G$7</definedName>
    <definedName name="solver_lhs2" localSheetId="1" hidden="1">'Настройка параметров'!$A$16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2" hidden="1">2</definedName>
    <definedName name="solver_num" localSheetId="3" hidden="1">2</definedName>
    <definedName name="solver_num" localSheetId="1" hidden="1">0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2" hidden="1">'Динамика обуч-ЭТАП 1'!$G$13</definedName>
    <definedName name="solver_opt" localSheetId="3" hidden="1">'Динамика обуч-ЭТАП-2 '!$G$9</definedName>
    <definedName name="solver_opt" localSheetId="1" hidden="1">'Настройка параметров'!$E$14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2" hidden="1">1</definedName>
    <definedName name="solver_rel1" localSheetId="3" hidden="1">3</definedName>
    <definedName name="solver_rel1" localSheetId="1" hidden="1">3</definedName>
    <definedName name="solver_rel2" localSheetId="2" hidden="1">3</definedName>
    <definedName name="solver_rel2" localSheetId="3" hidden="1">2</definedName>
    <definedName name="solver_rel2" localSheetId="1" hidden="1">3</definedName>
    <definedName name="solver_rhs1" localSheetId="2" hidden="1">'Динамика обуч-ЭТАП 1'!$A$17</definedName>
    <definedName name="solver_rhs1" localSheetId="3" hidden="1">'Динамика обуч-ЭТАП-2 '!$E$9:$F$9</definedName>
    <definedName name="solver_rhs1" localSheetId="1" hidden="1">'Настройка параметров'!$F$17</definedName>
    <definedName name="solver_rhs2" localSheetId="2" hidden="1">'Динамика обуч-ЭТАП 1'!$A$16</definedName>
    <definedName name="solver_rhs2" localSheetId="3" hidden="1">'Динамика обуч-ЭТАП-2 '!$C$7</definedName>
    <definedName name="solver_rhs2" localSheetId="1" hidden="1">'Настройка параметров'!$F$17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2" hidden="1">2</definedName>
    <definedName name="solver_typ" localSheetId="3" hidden="1">2</definedName>
    <definedName name="solver_typ" localSheetId="1" hidden="1">3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C13" i="1"/>
  <c r="B13" i="1"/>
  <c r="A7" i="11" l="1"/>
  <c r="G9" i="11"/>
  <c r="F3" i="11"/>
  <c r="D3" i="11"/>
  <c r="B3" i="11"/>
  <c r="G7" i="11" l="1"/>
  <c r="D6" i="5"/>
  <c r="D7" i="5"/>
  <c r="D8" i="5"/>
  <c r="D9" i="5"/>
  <c r="D10" i="5"/>
  <c r="D11" i="5"/>
  <c r="D12" i="5"/>
  <c r="D5" i="5"/>
  <c r="J6" i="5" l="1"/>
  <c r="J7" i="5"/>
  <c r="J8" i="5"/>
  <c r="J9" i="5"/>
  <c r="J10" i="5"/>
  <c r="J11" i="5"/>
  <c r="J12" i="5"/>
  <c r="J5" i="5"/>
  <c r="E5" i="5"/>
  <c r="E6" i="5" s="1"/>
  <c r="E7" i="5" s="1"/>
  <c r="E8" i="5" s="1"/>
  <c r="E9" i="5" s="1"/>
  <c r="E10" i="5" s="1"/>
  <c r="E11" i="5" s="1"/>
  <c r="E12" i="5" s="1"/>
  <c r="B16" i="1"/>
  <c r="E5" i="1" s="1"/>
  <c r="E6" i="1" s="1"/>
  <c r="E7" i="1" s="1"/>
  <c r="E8" i="1" s="1"/>
  <c r="E9" i="1" s="1"/>
  <c r="E10" i="1" s="1"/>
  <c r="E11" i="1" s="1"/>
  <c r="E12" i="1" s="1"/>
  <c r="E14" i="1" s="1"/>
  <c r="L12" i="5" l="1"/>
  <c r="C7" i="11"/>
  <c r="L5" i="5"/>
  <c r="L11" i="5"/>
  <c r="L10" i="5"/>
  <c r="L8" i="5"/>
  <c r="L7" i="5"/>
  <c r="L9" i="5"/>
  <c r="L6" i="5"/>
  <c r="D8" i="1"/>
  <c r="F8" i="1" s="1"/>
  <c r="K8" i="5" s="1"/>
  <c r="D12" i="1"/>
  <c r="F12" i="1" s="1"/>
  <c r="K12" i="5" s="1"/>
  <c r="D11" i="1"/>
  <c r="F11" i="1" s="1"/>
  <c r="K11" i="5" s="1"/>
  <c r="D10" i="1"/>
  <c r="F10" i="1" s="1"/>
  <c r="K10" i="5" s="1"/>
  <c r="D9" i="1"/>
  <c r="F9" i="1" s="1"/>
  <c r="K9" i="5" s="1"/>
  <c r="D7" i="1"/>
  <c r="F7" i="1" s="1"/>
  <c r="K7" i="5" s="1"/>
  <c r="D6" i="1"/>
  <c r="F6" i="1" s="1"/>
  <c r="K6" i="5" s="1"/>
  <c r="D5" i="1"/>
  <c r="F5" i="1" s="1"/>
  <c r="K5" i="5" s="1"/>
  <c r="G15" i="5" l="1"/>
  <c r="F5" i="5"/>
  <c r="G5" i="5" s="1"/>
  <c r="F6" i="5"/>
  <c r="G6" i="5" s="1"/>
  <c r="F7" i="5" l="1"/>
  <c r="G7" i="5" s="1"/>
  <c r="F8" i="5" l="1"/>
  <c r="G8" i="5" s="1"/>
  <c r="F9" i="5" l="1"/>
  <c r="G9" i="5" l="1"/>
  <c r="F10" i="5"/>
  <c r="G10" i="5" s="1"/>
  <c r="F11" i="5" l="1"/>
  <c r="G11" i="5" l="1"/>
  <c r="F12" i="5"/>
  <c r="G16" i="5" s="1"/>
  <c r="G17" i="5" s="1"/>
  <c r="F13" i="5" l="1"/>
  <c r="G12" i="5"/>
  <c r="G13" i="5" s="1"/>
</calcChain>
</file>

<file path=xl/sharedStrings.xml><?xml version="1.0" encoding="utf-8"?>
<sst xmlns="http://schemas.openxmlformats.org/spreadsheetml/2006/main" count="111" uniqueCount="103">
  <si>
    <t>УЕВ t</t>
  </si>
  <si>
    <t>Параметры ученика 1</t>
  </si>
  <si>
    <t>Расчет</t>
  </si>
  <si>
    <t>Е*Е</t>
  </si>
  <si>
    <t>Дисперсия X(t)</t>
  </si>
  <si>
    <t>Дисперсия Е(t)</t>
  </si>
  <si>
    <t>Е(t)</t>
  </si>
  <si>
    <t>R2=</t>
  </si>
  <si>
    <t>Параметры процесса</t>
  </si>
  <si>
    <t>Расчетные формулы</t>
  </si>
  <si>
    <t>Оценки-1</t>
  </si>
  <si>
    <t>Оценки-2</t>
  </si>
  <si>
    <t>Нач. уровень</t>
  </si>
  <si>
    <t>Расчет уровня</t>
  </si>
  <si>
    <t>Настройка своего варианта</t>
  </si>
  <si>
    <t xml:space="preserve">1. В строку 16 вставить свое значение  Альфа. </t>
  </si>
  <si>
    <t>3. Скопировать числа оценки-1 в столбце F в стобец G.</t>
  </si>
  <si>
    <t>Задание по лабораторной работе 1. Обучение школьника при  подготовке к ЕГЭ (условный пример школьника и предмета)</t>
  </si>
  <si>
    <t xml:space="preserve">Оценки индивидуальной динамики ученика </t>
  </si>
  <si>
    <t xml:space="preserve">  Графики  расчетной (Ряд 2) и наблюдаемой (Ряд 1) динамик ученика </t>
  </si>
  <si>
    <t>Компьютерная модель обучения ученика</t>
  </si>
  <si>
    <t>Алфа</t>
  </si>
  <si>
    <t>Бетта</t>
  </si>
  <si>
    <t>Гамма</t>
  </si>
  <si>
    <t xml:space="preserve"> Уровень стаб.</t>
  </si>
  <si>
    <t xml:space="preserve"> Стабилизация динамики ученика 2. Этап 2 моделирования</t>
  </si>
  <si>
    <t>Оценки индивидуальной динамики ученика</t>
  </si>
  <si>
    <t>Альфа</t>
  </si>
  <si>
    <t>Бета</t>
  </si>
  <si>
    <t>Оптимум</t>
  </si>
  <si>
    <t>1. Инструментом "Поиск решения" найти оптимум учебных занятий в неделю.</t>
  </si>
  <si>
    <t>Задание.</t>
  </si>
  <si>
    <t>1. Провести расчет динамики обученности инструментом "Поиск решения"</t>
  </si>
  <si>
    <t>2. Указать начальный уровень обученности ученика:</t>
  </si>
  <si>
    <t>3. Указать финальный истинный  уровень обученности</t>
  </si>
  <si>
    <t>4. Указать финальный оценочный  уровень обученности</t>
  </si>
  <si>
    <t>5. Работоспособна ли регресионная модель (да, нет)</t>
  </si>
  <si>
    <t>Рассматриваем 2-х этапную модель динамики конкретного ученика.</t>
  </si>
  <si>
    <t xml:space="preserve">Алфа </t>
  </si>
  <si>
    <t xml:space="preserve">Бетта </t>
  </si>
  <si>
    <t xml:space="preserve">2. Описать полученный результат для достижения стабильности: </t>
  </si>
  <si>
    <t>Достигрута ли стабильность знаний до экзамена (да, нет):</t>
  </si>
  <si>
    <t>Реальный ли результат (да, нет, сомневаюсь):</t>
  </si>
  <si>
    <t>Сколько часов на теорию, в том числе путем "думать все время":</t>
  </si>
  <si>
    <t>Сколько нужно часов на практику</t>
  </si>
  <si>
    <t>Задание по выполненным расчетам.</t>
  </si>
  <si>
    <t>№ вар</t>
  </si>
  <si>
    <t>1. Указать начальный уровень обученности ученика:</t>
  </si>
  <si>
    <t>3. Указать продолжительность единичного периода обучения (УЕВ t)</t>
  </si>
  <si>
    <t>4. Верно ли утверждение: для школьника выше эффект практики (да, нет)</t>
  </si>
  <si>
    <t>Задание по настройке истинных параметров условного школьника:</t>
  </si>
  <si>
    <t>2. Указать заданный финальный уровень обученности</t>
  </si>
  <si>
    <t>2. Поиском решения найти Гамма, которое обеспечит переход оценки школьника с 41 до 88 баллов ЕГЭ.</t>
  </si>
  <si>
    <t xml:space="preserve"> </t>
  </si>
  <si>
    <t>При ошибках начать расчеты в исходной программе</t>
  </si>
  <si>
    <t>Смотрим описание модели   в файле ворд в папке.</t>
  </si>
  <si>
    <t>Настройки и задания приведены на каждом листе этой программы</t>
  </si>
  <si>
    <t xml:space="preserve">    ТРЕБОВАНИЕ НЕ МЕНЬШЕ</t>
  </si>
  <si>
    <t>НЕДЕЛЯ</t>
  </si>
  <si>
    <t>Переименовать файл:  Группа-ЕГЭ-Фамилия</t>
  </si>
  <si>
    <t xml:space="preserve">Переслать файл на проверку </t>
  </si>
  <si>
    <t>osk46@mail,ru</t>
  </si>
  <si>
    <t>Номер варианта заданий и значение Альфа</t>
  </si>
  <si>
    <t>часов</t>
  </si>
  <si>
    <t xml:space="preserve">5. Укажите общее число часов учебных занятий (практика+лекции) </t>
  </si>
  <si>
    <t>ФИО магист гр. 4.606М-3</t>
  </si>
  <si>
    <t>ФИО маг г.4.606Мз-3</t>
  </si>
  <si>
    <t>Абрамян Нина</t>
  </si>
  <si>
    <t xml:space="preserve">Адаев Дмитрий </t>
  </si>
  <si>
    <t>Бенчак Олег (К) (МФ)</t>
  </si>
  <si>
    <t xml:space="preserve">Вдовин Руслан </t>
  </si>
  <si>
    <t xml:space="preserve">Волков Федор </t>
  </si>
  <si>
    <t xml:space="preserve">Клевцов Артём </t>
  </si>
  <si>
    <t xml:space="preserve">Лакпа Темир </t>
  </si>
  <si>
    <t xml:space="preserve">Манаков Матвей </t>
  </si>
  <si>
    <t xml:space="preserve">Рысин Павел </t>
  </si>
  <si>
    <t xml:space="preserve">Сальникова Ксения </t>
  </si>
  <si>
    <t xml:space="preserve">Сизинцева Юлия </t>
  </si>
  <si>
    <t xml:space="preserve">Сиялов Илья </t>
  </si>
  <si>
    <t xml:space="preserve">Черевкова Алёна (МФ) </t>
  </si>
  <si>
    <t>Азиззода Сафарали (Т)</t>
  </si>
  <si>
    <t xml:space="preserve">Булачкова Юлианна </t>
  </si>
  <si>
    <t>Гаврилов Егор (К)</t>
  </si>
  <si>
    <t>Гайдай Андрей</t>
  </si>
  <si>
    <t>Ганибаев Равиль (К)</t>
  </si>
  <si>
    <t xml:space="preserve">Граубергер Александр </t>
  </si>
  <si>
    <t xml:space="preserve">Ерофеев Тимур </t>
  </si>
  <si>
    <t xml:space="preserve">Жидков Григорий </t>
  </si>
  <si>
    <t xml:space="preserve">Коваленко Алексей </t>
  </si>
  <si>
    <t xml:space="preserve">Козлов Леонид </t>
  </si>
  <si>
    <t xml:space="preserve">Колупаев Александр </t>
  </si>
  <si>
    <t xml:space="preserve">Кондратенко Иван </t>
  </si>
  <si>
    <t xml:space="preserve">Кузнецов Максим </t>
  </si>
  <si>
    <t xml:space="preserve">Кузяков Сергей </t>
  </si>
  <si>
    <t xml:space="preserve">Лысенко Никита </t>
  </si>
  <si>
    <t>Лян Вэньхао (К)</t>
  </si>
  <si>
    <t xml:space="preserve">Меньшиков Сергей </t>
  </si>
  <si>
    <t xml:space="preserve">Сопов Никита </t>
  </si>
  <si>
    <t xml:space="preserve">Стеганцев Дмитрий </t>
  </si>
  <si>
    <t xml:space="preserve">Тихомирова Злата </t>
  </si>
  <si>
    <t xml:space="preserve">Чечулин Николай </t>
  </si>
  <si>
    <t xml:space="preserve">Языков Ярослав 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</si>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</sst>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NewRomanPSMT"/>
    </font>
    <font>
      <sz val="12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sz val="14"/>
      <color theme="1"/>
      <name val="TimesNewRomanPSMT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3" borderId="0" xfId="0" applyNumberFormat="1" applyFill="1" applyAlignment="1">
      <alignment horizontal="center"/>
    </xf>
    <xf numFmtId="0" fontId="4" fillId="4" borderId="0" xfId="0" applyFont="1" applyFill="1"/>
    <xf numFmtId="0" fontId="0" fillId="4" borderId="0" xfId="0" applyFill="1"/>
    <xf numFmtId="164" fontId="0" fillId="0" borderId="0" xfId="0" applyNumberFormat="1" applyAlignment="1">
      <alignment horizontal="center"/>
    </xf>
    <xf numFmtId="0" fontId="1" fillId="4" borderId="0" xfId="0" applyFont="1" applyFill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165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6" borderId="0" xfId="0" applyFill="1"/>
    <xf numFmtId="0" fontId="1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2" fontId="7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8" fillId="0" borderId="1" xfId="0" applyFon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/>
    </xf>
    <xf numFmtId="0" fontId="9" fillId="0" borderId="0" xfId="0" applyFont="1"/>
    <xf numFmtId="0" fontId="1" fillId="0" borderId="0" xfId="0" applyFont="1"/>
    <xf numFmtId="165" fontId="0" fillId="0" borderId="1" xfId="0" applyNumberFormat="1" applyBorder="1" applyAlignment="1">
      <alignment horizontal="center"/>
    </xf>
    <xf numFmtId="0" fontId="9" fillId="2" borderId="0" xfId="0" applyFont="1" applyFill="1"/>
    <xf numFmtId="0" fontId="10" fillId="0" borderId="0" xfId="1"/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Border="1"/>
    <xf numFmtId="0" fontId="9" fillId="0" borderId="2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'Динамика обуч-ЭТАП 1'!$K$5:$K$12</c:f>
              <c:numCache>
                <c:formatCode>0.0</c:formatCode>
                <c:ptCount val="8"/>
                <c:pt idx="0">
                  <c:v>49</c:v>
                </c:pt>
                <c:pt idx="1">
                  <c:v>55</c:v>
                </c:pt>
                <c:pt idx="2">
                  <c:v>62</c:v>
                </c:pt>
                <c:pt idx="3">
                  <c:v>63</c:v>
                </c:pt>
                <c:pt idx="4">
                  <c:v>71</c:v>
                </c:pt>
                <c:pt idx="5">
                  <c:v>80</c:v>
                </c:pt>
                <c:pt idx="6">
                  <c:v>80</c:v>
                </c:pt>
                <c:pt idx="7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9-4CBD-874C-ABDF6223DFC5}"/>
            </c:ext>
          </c:extLst>
        </c:ser>
        <c:ser>
          <c:idx val="1"/>
          <c:order val="1"/>
          <c:marker>
            <c:symbol val="none"/>
          </c:marker>
          <c:val>
            <c:numRef>
              <c:f>'Динамика обуч-ЭТАП 1'!$L$5:$L$12</c:f>
              <c:numCache>
                <c:formatCode>0.00</c:formatCode>
                <c:ptCount val="8"/>
                <c:pt idx="0">
                  <c:v>47.67416887585874</c:v>
                </c:pt>
                <c:pt idx="1">
                  <c:v>54.148112685441724</c:v>
                </c:pt>
                <c:pt idx="2">
                  <c:v>60.351496789278343</c:v>
                </c:pt>
                <c:pt idx="3">
                  <c:v>66.216096587082106</c:v>
                </c:pt>
                <c:pt idx="4">
                  <c:v>71.828416999492902</c:v>
                </c:pt>
                <c:pt idx="5">
                  <c:v>77.272367799531366</c:v>
                </c:pt>
                <c:pt idx="6">
                  <c:v>82.553000075568676</c:v>
                </c:pt>
                <c:pt idx="7">
                  <c:v>87.675213383324873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9-4CBD-874C-ABDF6223D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03104"/>
        <c:axId val="170713088"/>
      </c:lineChart>
      <c:catAx>
        <c:axId val="17070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713088"/>
        <c:crosses val="autoZero"/>
        <c:auto val="1"/>
        <c:lblAlgn val="ctr"/>
        <c:lblOffset val="100"/>
        <c:noMultiLvlLbl val="0"/>
      </c:catAx>
      <c:valAx>
        <c:axId val="17071308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7070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501831</xdr:colOff>
      <xdr:row>8</xdr:row>
      <xdr:rowOff>129540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51FAE95-67B1-4D3B-94A8-8FEA58214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5584371" cy="1303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137711</xdr:colOff>
      <xdr:row>3</xdr:row>
      <xdr:rowOff>41313</xdr:rowOff>
    </xdr:from>
    <xdr:to>
      <xdr:col>3</xdr:col>
      <xdr:colOff>413132</xdr:colOff>
      <xdr:row>3</xdr:row>
      <xdr:rowOff>309545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94947B3-F8C7-49F2-B493-0A0CB91BF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193" y="803313"/>
          <a:ext cx="275421" cy="268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142301</xdr:colOff>
      <xdr:row>3</xdr:row>
      <xdr:rowOff>68855</xdr:rowOff>
    </xdr:from>
    <xdr:to>
      <xdr:col>2</xdr:col>
      <xdr:colOff>383582</xdr:colOff>
      <xdr:row>3</xdr:row>
      <xdr:rowOff>298373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7FD179D-8B41-479D-A928-58207BEA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940" y="830855"/>
          <a:ext cx="241281" cy="229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165253</xdr:colOff>
      <xdr:row>3</xdr:row>
      <xdr:rowOff>64265</xdr:rowOff>
    </xdr:from>
    <xdr:to>
      <xdr:col>1</xdr:col>
      <xdr:colOff>422313</xdr:colOff>
      <xdr:row>3</xdr:row>
      <xdr:rowOff>322772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F13FA62-9B7F-44CE-A47E-83C1C2BA8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783" y="826265"/>
          <a:ext cx="257060" cy="25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106680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1080" y="198120"/>
          <a:ext cx="3352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175260</xdr:rowOff>
    </xdr:from>
    <xdr:to>
      <xdr:col>4</xdr:col>
      <xdr:colOff>0</xdr:colOff>
      <xdr:row>1</xdr:row>
      <xdr:rowOff>83820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175260"/>
          <a:ext cx="32766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129540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220980"/>
          <a:ext cx="3352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0</xdr:rowOff>
    </xdr:from>
    <xdr:to>
      <xdr:col>6</xdr:col>
      <xdr:colOff>0</xdr:colOff>
      <xdr:row>2</xdr:row>
      <xdr:rowOff>30480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40" y="312420"/>
          <a:ext cx="3352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38100</xdr:colOff>
      <xdr:row>1</xdr:row>
      <xdr:rowOff>106680</xdr:rowOff>
    </xdr:from>
    <xdr:to>
      <xdr:col>22</xdr:col>
      <xdr:colOff>53340</xdr:colOff>
      <xdr:row>20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68580</xdr:colOff>
      <xdr:row>3</xdr:row>
      <xdr:rowOff>5276</xdr:rowOff>
    </xdr:from>
    <xdr:to>
      <xdr:col>3</xdr:col>
      <xdr:colOff>344001</xdr:colOff>
      <xdr:row>4</xdr:row>
      <xdr:rowOff>3877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7C0AEA2B-15B4-4EE5-A03A-2FABE923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380" y="679353"/>
          <a:ext cx="275421" cy="268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199293</xdr:colOff>
      <xdr:row>3</xdr:row>
      <xdr:rowOff>23447</xdr:rowOff>
    </xdr:from>
    <xdr:to>
      <xdr:col>2</xdr:col>
      <xdr:colOff>492369</xdr:colOff>
      <xdr:row>4</xdr:row>
      <xdr:rowOff>32604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0AFA483-DDBD-4F70-8B72-300708E88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493" y="697524"/>
          <a:ext cx="293076" cy="278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140677</xdr:colOff>
      <xdr:row>3</xdr:row>
      <xdr:rowOff>29307</xdr:rowOff>
    </xdr:from>
    <xdr:to>
      <xdr:col>1</xdr:col>
      <xdr:colOff>410308</xdr:colOff>
      <xdr:row>4</xdr:row>
      <xdr:rowOff>30825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87C81ACE-ABDA-4425-93D8-6C6A9D847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277" y="703384"/>
          <a:ext cx="269631" cy="271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106680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02C56CB-BB63-4914-A7C6-17EF71B8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289560"/>
          <a:ext cx="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175260</xdr:rowOff>
    </xdr:from>
    <xdr:to>
      <xdr:col>4</xdr:col>
      <xdr:colOff>0</xdr:colOff>
      <xdr:row>1</xdr:row>
      <xdr:rowOff>83820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7FC5423A-2FB5-43BC-954F-24F899803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175260"/>
          <a:ext cx="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129540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7DB0E8C-6703-47FA-AAFF-3BAB81C5A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289560"/>
          <a:ext cx="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0</xdr:colOff>
      <xdr:row>2</xdr:row>
      <xdr:rowOff>30480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41EEC6D-4151-4EF7-A151-373E0C9D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289560"/>
          <a:ext cx="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8F190B35-455C-4165-AA70-6BCC7807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4168140"/>
          <a:ext cx="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128954</xdr:colOff>
      <xdr:row>5</xdr:row>
      <xdr:rowOff>117229</xdr:rowOff>
    </xdr:from>
    <xdr:to>
      <xdr:col>4</xdr:col>
      <xdr:colOff>467862</xdr:colOff>
      <xdr:row>5</xdr:row>
      <xdr:rowOff>439614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78198513-340B-41B0-A63C-6CB25FD4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1195752"/>
          <a:ext cx="338908" cy="322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128953</xdr:colOff>
      <xdr:row>5</xdr:row>
      <xdr:rowOff>117231</xdr:rowOff>
    </xdr:from>
    <xdr:to>
      <xdr:col>5</xdr:col>
      <xdr:colOff>441373</xdr:colOff>
      <xdr:row>5</xdr:row>
      <xdr:rowOff>431410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E5886B26-6B9C-4AFC-933B-E6CA02255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199" y="1195754"/>
          <a:ext cx="312420" cy="314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osk46@mail,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O7" sqref="O7"/>
    </sheetView>
  </sheetViews>
  <sheetFormatPr defaultRowHeight="15"/>
  <cols>
    <col min="2" max="2" width="10.28515625" customWidth="1"/>
    <col min="4" max="4" width="10.42578125" customWidth="1"/>
    <col min="10" max="10" width="5.85546875" customWidth="1"/>
    <col min="12" max="12" width="24.42578125" customWidth="1"/>
    <col min="14" max="14" width="26.7109375" customWidth="1"/>
  </cols>
  <sheetData>
    <row r="1" spans="1:15" ht="21.6" customHeight="1">
      <c r="A1" s="27" t="s">
        <v>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5">
      <c r="K2" t="s">
        <v>62</v>
      </c>
    </row>
    <row r="3" spans="1:15">
      <c r="K3" s="13" t="s">
        <v>46</v>
      </c>
      <c r="L3" s="13" t="s">
        <v>65</v>
      </c>
      <c r="M3" s="13" t="s">
        <v>27</v>
      </c>
      <c r="N3" s="48" t="s">
        <v>66</v>
      </c>
      <c r="O3" s="13" t="s">
        <v>27</v>
      </c>
    </row>
    <row r="4" spans="1:15" ht="15" customHeight="1">
      <c r="K4" s="39">
        <v>1</v>
      </c>
      <c r="L4" s="47" t="s">
        <v>80</v>
      </c>
      <c r="M4" s="10">
        <v>0.82399999999999995</v>
      </c>
      <c r="N4" s="49" t="s">
        <v>67</v>
      </c>
      <c r="O4" s="10">
        <v>0.94399999999999995</v>
      </c>
    </row>
    <row r="5" spans="1:15" ht="15.75">
      <c r="K5" s="39">
        <v>2</v>
      </c>
      <c r="L5" s="47" t="s">
        <v>81</v>
      </c>
      <c r="M5" s="10">
        <v>0.80900000000000005</v>
      </c>
      <c r="N5" s="49" t="s">
        <v>68</v>
      </c>
      <c r="O5" s="43">
        <v>0.88</v>
      </c>
    </row>
    <row r="6" spans="1:15" ht="14.25" customHeight="1">
      <c r="K6" s="39">
        <v>3</v>
      </c>
      <c r="L6" s="47" t="s">
        <v>82</v>
      </c>
      <c r="M6" s="10">
        <v>0.93500000000000005</v>
      </c>
      <c r="N6" s="49" t="s">
        <v>69</v>
      </c>
      <c r="O6" s="10">
        <v>0.92200000000000004</v>
      </c>
    </row>
    <row r="7" spans="1:15" ht="15.75">
      <c r="K7" s="39">
        <v>4</v>
      </c>
      <c r="L7" s="47" t="s">
        <v>83</v>
      </c>
      <c r="M7" s="10">
        <v>0.88400000000000001</v>
      </c>
      <c r="N7" s="49" t="s">
        <v>70</v>
      </c>
      <c r="O7" s="10">
        <v>0.92100000000000004</v>
      </c>
    </row>
    <row r="8" spans="1:15" ht="15.75">
      <c r="K8" s="39">
        <v>5</v>
      </c>
      <c r="L8" s="47" t="s">
        <v>84</v>
      </c>
      <c r="M8" s="10">
        <v>0.96099999999999997</v>
      </c>
      <c r="N8" s="49" t="s">
        <v>71</v>
      </c>
      <c r="O8" s="10">
        <v>0.83</v>
      </c>
    </row>
    <row r="9" spans="1:15" ht="18.75" customHeight="1">
      <c r="K9" s="39">
        <v>6</v>
      </c>
      <c r="L9" s="47" t="s">
        <v>85</v>
      </c>
      <c r="M9" s="10">
        <v>0.85399999999999998</v>
      </c>
      <c r="N9" s="49" t="s">
        <v>72</v>
      </c>
      <c r="O9" s="10">
        <v>0.86199999999999999</v>
      </c>
    </row>
    <row r="10" spans="1:15" ht="15.75">
      <c r="K10" s="39">
        <v>7</v>
      </c>
      <c r="L10" s="47" t="s">
        <v>86</v>
      </c>
      <c r="M10" s="10">
        <v>0.81799999999999995</v>
      </c>
      <c r="N10" s="49" t="s">
        <v>73</v>
      </c>
      <c r="O10" s="10">
        <v>0.92400000000000004</v>
      </c>
    </row>
    <row r="11" spans="1:15" ht="16.149999999999999" customHeight="1">
      <c r="A11" s="41" t="s">
        <v>37</v>
      </c>
      <c r="B11" s="41"/>
      <c r="C11" s="41"/>
      <c r="D11" s="41"/>
      <c r="E11" s="41"/>
      <c r="F11" s="41"/>
      <c r="G11" s="41"/>
      <c r="K11" s="39">
        <v>8</v>
      </c>
      <c r="L11" s="47" t="s">
        <v>87</v>
      </c>
      <c r="M11" s="10">
        <v>0.86699999999999999</v>
      </c>
      <c r="N11" s="49" t="s">
        <v>74</v>
      </c>
      <c r="O11" s="10">
        <v>0.82899999999999996</v>
      </c>
    </row>
    <row r="12" spans="1:15" ht="15.75">
      <c r="A12" s="44" t="s">
        <v>55</v>
      </c>
      <c r="B12" s="41"/>
      <c r="C12" s="41"/>
      <c r="D12" s="41"/>
      <c r="E12" s="41"/>
      <c r="F12" s="41"/>
      <c r="G12" s="41"/>
      <c r="K12" s="39">
        <v>9</v>
      </c>
      <c r="L12" s="47" t="s">
        <v>88</v>
      </c>
      <c r="M12" s="10">
        <v>0.93899999999999995</v>
      </c>
      <c r="N12" s="49" t="s">
        <v>75</v>
      </c>
      <c r="O12" s="10">
        <v>0.85299999999999998</v>
      </c>
    </row>
    <row r="13" spans="1:15" ht="15.75">
      <c r="A13" s="44" t="s">
        <v>56</v>
      </c>
      <c r="B13" s="41"/>
      <c r="C13" s="41"/>
      <c r="D13" s="41"/>
      <c r="E13" s="41"/>
      <c r="F13" s="41"/>
      <c r="G13" s="41"/>
      <c r="K13" s="39">
        <v>10</v>
      </c>
      <c r="L13" s="47" t="s">
        <v>89</v>
      </c>
      <c r="M13" s="10">
        <v>0.93200000000000005</v>
      </c>
      <c r="N13" s="49" t="s">
        <v>76</v>
      </c>
      <c r="O13" s="43">
        <v>0.82</v>
      </c>
    </row>
    <row r="14" spans="1:15" ht="15.75">
      <c r="A14" t="s">
        <v>59</v>
      </c>
      <c r="C14" s="28"/>
      <c r="D14" s="28"/>
      <c r="K14" s="39">
        <v>11</v>
      </c>
      <c r="L14" s="47" t="s">
        <v>90</v>
      </c>
      <c r="M14" s="10">
        <v>0.95699999999999996</v>
      </c>
      <c r="N14" s="49" t="s">
        <v>77</v>
      </c>
      <c r="O14" s="10">
        <v>0.90400000000000003</v>
      </c>
    </row>
    <row r="15" spans="1:15" ht="15.75">
      <c r="A15" t="s">
        <v>60</v>
      </c>
      <c r="D15" s="45" t="s">
        <v>61</v>
      </c>
      <c r="K15" s="39">
        <v>12</v>
      </c>
      <c r="L15" s="47" t="s">
        <v>91</v>
      </c>
      <c r="M15" s="10">
        <v>0.86</v>
      </c>
      <c r="N15" s="49" t="s">
        <v>78</v>
      </c>
      <c r="O15" s="10">
        <v>0.90200000000000002</v>
      </c>
    </row>
    <row r="16" spans="1:15" ht="14.25" customHeight="1">
      <c r="K16" s="39">
        <v>13</v>
      </c>
      <c r="L16" s="47" t="s">
        <v>92</v>
      </c>
      <c r="M16" s="10">
        <v>0.82899999999999996</v>
      </c>
      <c r="N16" s="49" t="s">
        <v>79</v>
      </c>
      <c r="O16" s="10">
        <v>0.85499999999999998</v>
      </c>
    </row>
    <row r="17" spans="11:15" ht="15.75">
      <c r="K17" s="39">
        <v>14</v>
      </c>
      <c r="L17" s="47" t="s">
        <v>93</v>
      </c>
      <c r="M17" s="10">
        <v>0.872</v>
      </c>
      <c r="N17" s="46"/>
      <c r="O17" s="2"/>
    </row>
    <row r="18" spans="11:15" ht="15.75">
      <c r="K18" s="39">
        <v>15</v>
      </c>
      <c r="L18" s="47" t="s">
        <v>94</v>
      </c>
      <c r="M18" s="10">
        <v>0.86799999999999999</v>
      </c>
      <c r="N18" s="46"/>
      <c r="O18" s="2"/>
    </row>
    <row r="19" spans="11:15" ht="15.75">
      <c r="K19" s="39">
        <v>16</v>
      </c>
      <c r="L19" s="47" t="s">
        <v>95</v>
      </c>
      <c r="M19" s="10">
        <v>0.96199999999999997</v>
      </c>
    </row>
    <row r="20" spans="11:15" ht="15.75">
      <c r="K20" s="39">
        <v>17</v>
      </c>
      <c r="L20" s="47" t="s">
        <v>96</v>
      </c>
      <c r="M20" s="10">
        <v>0.96199999999999997</v>
      </c>
    </row>
    <row r="21" spans="11:15" ht="15.75">
      <c r="K21" s="39">
        <v>18</v>
      </c>
      <c r="L21" s="47" t="s">
        <v>97</v>
      </c>
      <c r="M21" s="10">
        <v>0.91600000000000004</v>
      </c>
    </row>
    <row r="22" spans="11:15" ht="15.75">
      <c r="K22" s="39">
        <v>19</v>
      </c>
      <c r="L22" s="47" t="s">
        <v>98</v>
      </c>
      <c r="M22" s="10">
        <v>0.88100000000000001</v>
      </c>
    </row>
    <row r="23" spans="11:15" ht="15.75">
      <c r="K23" s="39">
        <v>20</v>
      </c>
      <c r="L23" s="47" t="s">
        <v>99</v>
      </c>
      <c r="M23" s="10">
        <v>0.95699999999999996</v>
      </c>
    </row>
    <row r="24" spans="11:15" ht="15.75">
      <c r="K24" s="39">
        <v>21</v>
      </c>
      <c r="L24" s="47" t="s">
        <v>100</v>
      </c>
      <c r="M24" s="10">
        <v>0.92300000000000004</v>
      </c>
    </row>
    <row r="25" spans="11:15" ht="15.75">
      <c r="K25" s="39">
        <v>22</v>
      </c>
      <c r="L25" s="47" t="s">
        <v>101</v>
      </c>
      <c r="M25" s="10">
        <v>0.94299999999999995</v>
      </c>
    </row>
  </sheetData>
  <hyperlinks>
    <hyperlink ref="D15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Normal="100" workbookViewId="0">
      <selection activeCell="I24" sqref="I24"/>
    </sheetView>
  </sheetViews>
  <sheetFormatPr defaultRowHeight="15"/>
  <cols>
    <col min="1" max="1" width="7.42578125" customWidth="1"/>
    <col min="2" max="2" width="9" customWidth="1"/>
    <col min="3" max="3" width="8" customWidth="1"/>
    <col min="4" max="4" width="8.5703125" customWidth="1"/>
    <col min="5" max="5" width="9" customWidth="1"/>
    <col min="6" max="6" width="9.28515625" customWidth="1"/>
    <col min="7" max="7" width="11" customWidth="1"/>
  </cols>
  <sheetData>
    <row r="1" spans="1:14" ht="23.25">
      <c r="A1" s="4" t="s">
        <v>20</v>
      </c>
      <c r="B1" s="4"/>
      <c r="C1" s="4"/>
      <c r="D1" s="4"/>
      <c r="E1" s="4"/>
      <c r="F1" s="4"/>
      <c r="G1" s="4"/>
    </row>
    <row r="3" spans="1:14" ht="22.9" customHeight="1">
      <c r="A3" s="8" t="s">
        <v>0</v>
      </c>
      <c r="B3" s="50" t="s">
        <v>8</v>
      </c>
      <c r="C3" s="50"/>
      <c r="D3" s="50"/>
      <c r="E3" s="51" t="s">
        <v>9</v>
      </c>
      <c r="F3" s="51"/>
      <c r="G3" s="51"/>
    </row>
    <row r="4" spans="1:14" ht="26.45" customHeight="1">
      <c r="A4" s="8"/>
      <c r="B4" s="11"/>
      <c r="C4" s="11"/>
      <c r="D4" s="11"/>
      <c r="E4" s="21">
        <v>41</v>
      </c>
      <c r="F4" s="21" t="s">
        <v>10</v>
      </c>
      <c r="G4" s="21" t="s">
        <v>11</v>
      </c>
    </row>
    <row r="5" spans="1:14" ht="15.75">
      <c r="A5" s="8">
        <v>1</v>
      </c>
      <c r="B5" s="8">
        <v>16</v>
      </c>
      <c r="C5" s="8">
        <v>8</v>
      </c>
      <c r="D5" s="22">
        <f t="shared" ref="D5:D12" ca="1" si="0">E5+10*(0.5-RAND())</f>
        <v>48.334990131574756</v>
      </c>
      <c r="E5" s="23">
        <f t="shared" ref="E5:E12" si="1">E4*$A$16+C5*$B$16+B5*$C$16</f>
        <v>47.075288633145725</v>
      </c>
      <c r="F5" s="24">
        <f ca="1">ROUND(D5,0)</f>
        <v>48</v>
      </c>
      <c r="G5" s="12">
        <v>49</v>
      </c>
      <c r="I5" s="28" t="s">
        <v>14</v>
      </c>
      <c r="J5" s="28"/>
      <c r="K5" s="28"/>
    </row>
    <row r="6" spans="1:14" ht="15.75">
      <c r="A6" s="8">
        <v>2</v>
      </c>
      <c r="B6" s="8">
        <v>16</v>
      </c>
      <c r="C6" s="8">
        <v>8</v>
      </c>
      <c r="D6" s="22">
        <f t="shared" ca="1" si="0"/>
        <v>49.148139260117894</v>
      </c>
      <c r="E6" s="23">
        <f t="shared" si="1"/>
        <v>52.670629464272935</v>
      </c>
      <c r="F6" s="24">
        <f t="shared" ref="F6:G12" ca="1" si="2">ROUND(D6,0)</f>
        <v>49</v>
      </c>
      <c r="G6" s="12">
        <v>55</v>
      </c>
      <c r="I6" t="s">
        <v>15</v>
      </c>
    </row>
    <row r="7" spans="1:14" ht="15.75">
      <c r="A7" s="8">
        <v>3</v>
      </c>
      <c r="B7" s="8">
        <v>14</v>
      </c>
      <c r="C7" s="8">
        <v>10</v>
      </c>
      <c r="D7" s="22">
        <f t="shared" ca="1" si="0"/>
        <v>58.84617159344802</v>
      </c>
      <c r="E7" s="23">
        <f t="shared" si="1"/>
        <v>58.406081409312712</v>
      </c>
      <c r="F7" s="24">
        <f t="shared" ca="1" si="2"/>
        <v>59</v>
      </c>
      <c r="G7" s="12">
        <v>62</v>
      </c>
      <c r="I7" s="52" t="s">
        <v>52</v>
      </c>
      <c r="J7" s="52"/>
      <c r="K7" s="52"/>
      <c r="L7" s="52"/>
      <c r="M7" s="52"/>
    </row>
    <row r="8" spans="1:14" ht="15.75">
      <c r="A8" s="8">
        <v>4</v>
      </c>
      <c r="B8" s="8">
        <v>10</v>
      </c>
      <c r="C8" s="8">
        <v>14</v>
      </c>
      <c r="D8" s="22">
        <f t="shared" ca="1" si="0"/>
        <v>64.45571976081817</v>
      </c>
      <c r="E8" s="23">
        <f t="shared" si="1"/>
        <v>64.852718729837562</v>
      </c>
      <c r="F8" s="24">
        <f t="shared" ca="1" si="2"/>
        <v>64</v>
      </c>
      <c r="G8" s="12">
        <v>63</v>
      </c>
      <c r="I8" s="52"/>
      <c r="J8" s="52"/>
      <c r="K8" s="52"/>
      <c r="L8" s="52"/>
      <c r="M8" s="52"/>
    </row>
    <row r="9" spans="1:14" ht="15.75">
      <c r="A9" s="8">
        <v>5</v>
      </c>
      <c r="B9" s="8">
        <v>8</v>
      </c>
      <c r="C9" s="8">
        <v>16</v>
      </c>
      <c r="D9" s="22">
        <f t="shared" ca="1" si="0"/>
        <v>69.689463904512976</v>
      </c>
      <c r="E9" s="23">
        <f t="shared" si="1"/>
        <v>71.372214741612552</v>
      </c>
      <c r="F9" s="24">
        <f t="shared" ca="1" si="2"/>
        <v>70</v>
      </c>
      <c r="G9" s="12">
        <v>71</v>
      </c>
      <c r="I9" t="s">
        <v>16</v>
      </c>
    </row>
    <row r="10" spans="1:14" ht="15.75">
      <c r="A10" s="8">
        <v>6</v>
      </c>
      <c r="B10" s="8">
        <v>8</v>
      </c>
      <c r="C10" s="8">
        <v>16</v>
      </c>
      <c r="D10" s="22">
        <f t="shared" ca="1" si="0"/>
        <v>73.149604978849823</v>
      </c>
      <c r="E10" s="23">
        <f t="shared" si="1"/>
        <v>77.376670568457314</v>
      </c>
      <c r="F10" s="24">
        <f t="shared" ca="1" si="2"/>
        <v>73</v>
      </c>
      <c r="G10" s="12">
        <v>80</v>
      </c>
      <c r="I10" s="28" t="s">
        <v>54</v>
      </c>
      <c r="J10" s="28"/>
      <c r="K10" s="28"/>
      <c r="L10" s="28"/>
      <c r="M10" s="28"/>
      <c r="N10" s="28"/>
    </row>
    <row r="11" spans="1:14" ht="15.75">
      <c r="A11" s="8">
        <v>7</v>
      </c>
      <c r="B11" s="8">
        <v>8</v>
      </c>
      <c r="C11" s="8">
        <v>16</v>
      </c>
      <c r="D11" s="22">
        <f t="shared" ca="1" si="0"/>
        <v>86.120912331392887</v>
      </c>
      <c r="E11" s="23">
        <f t="shared" si="1"/>
        <v>82.906774384981347</v>
      </c>
      <c r="F11" s="24">
        <f t="shared" ca="1" si="2"/>
        <v>86</v>
      </c>
      <c r="G11" s="12">
        <v>80</v>
      </c>
    </row>
    <row r="12" spans="1:14" ht="15.75">
      <c r="A12" s="8">
        <v>8</v>
      </c>
      <c r="B12" s="8">
        <v>8</v>
      </c>
      <c r="C12" s="8">
        <v>16</v>
      </c>
      <c r="D12" s="22">
        <f t="shared" ca="1" si="0"/>
        <v>89.38378531832295</v>
      </c>
      <c r="E12" s="23">
        <f t="shared" si="1"/>
        <v>87.999999999999986</v>
      </c>
      <c r="F12" s="24">
        <f t="shared" ca="1" si="2"/>
        <v>89</v>
      </c>
      <c r="G12" s="12">
        <v>89</v>
      </c>
    </row>
    <row r="13" spans="1:14">
      <c r="B13" s="2">
        <f>SUM(B5:B12)</f>
        <v>88</v>
      </c>
      <c r="C13" s="2">
        <f>SUM(C5:C12)</f>
        <v>104</v>
      </c>
      <c r="E13" s="20">
        <v>88</v>
      </c>
    </row>
    <row r="14" spans="1:14">
      <c r="E14" s="19">
        <f>E12-E13</f>
        <v>0</v>
      </c>
    </row>
    <row r="15" spans="1:14">
      <c r="A15" s="28" t="s">
        <v>21</v>
      </c>
      <c r="B15" s="29" t="s">
        <v>22</v>
      </c>
      <c r="C15" s="29" t="s">
        <v>23</v>
      </c>
    </row>
    <row r="16" spans="1:14">
      <c r="A16" s="10">
        <v>0.92100000000000004</v>
      </c>
      <c r="B16" s="18">
        <f>2*C16</f>
        <v>0.58214303957160796</v>
      </c>
      <c r="C16" s="18">
        <v>0.29107151978580398</v>
      </c>
    </row>
    <row r="18" spans="1:10">
      <c r="A18" s="28" t="s">
        <v>50</v>
      </c>
      <c r="B18" s="28"/>
      <c r="C18" s="28"/>
      <c r="D18" s="28"/>
      <c r="E18" s="28"/>
      <c r="F18" s="28"/>
      <c r="G18" s="28"/>
    </row>
    <row r="19" spans="1:10">
      <c r="A19" t="s">
        <v>47</v>
      </c>
      <c r="G19" s="36">
        <v>41</v>
      </c>
    </row>
    <row r="20" spans="1:10">
      <c r="A20" t="s">
        <v>51</v>
      </c>
      <c r="G20" s="37">
        <v>88</v>
      </c>
    </row>
    <row r="21" spans="1:10">
      <c r="A21" t="s">
        <v>48</v>
      </c>
      <c r="H21" s="36">
        <v>1</v>
      </c>
      <c r="I21" t="s">
        <v>58</v>
      </c>
    </row>
    <row r="22" spans="1:10">
      <c r="A22" t="s">
        <v>49</v>
      </c>
      <c r="I22" s="36" t="s">
        <v>102</v>
      </c>
    </row>
    <row r="23" spans="1:10">
      <c r="A23" t="s">
        <v>64</v>
      </c>
      <c r="I23" s="36">
        <f>SUM(B13:C13)</f>
        <v>192</v>
      </c>
      <c r="J23" t="s">
        <v>63</v>
      </c>
    </row>
  </sheetData>
  <mergeCells count="3">
    <mergeCell ref="B3:D3"/>
    <mergeCell ref="E3:G3"/>
    <mergeCell ref="I7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zoomScale="130" zoomScaleNormal="130" workbookViewId="0">
      <selection activeCell="G24" sqref="G24"/>
    </sheetView>
  </sheetViews>
  <sheetFormatPr defaultRowHeight="15"/>
  <cols>
    <col min="4" max="4" width="5" customWidth="1"/>
    <col min="7" max="7" width="16.28515625" customWidth="1"/>
    <col min="22" max="22" width="11.28515625" customWidth="1"/>
  </cols>
  <sheetData>
    <row r="1" spans="1:22" ht="23.25">
      <c r="A1" s="4" t="s">
        <v>18</v>
      </c>
      <c r="B1" s="5"/>
      <c r="C1" s="5"/>
      <c r="D1" s="5"/>
      <c r="E1" s="5"/>
      <c r="F1" s="5"/>
      <c r="G1" s="5"/>
      <c r="N1" s="7" t="s">
        <v>19</v>
      </c>
      <c r="O1" s="4"/>
      <c r="P1" s="4"/>
      <c r="Q1" s="4"/>
      <c r="R1" s="4"/>
      <c r="S1" s="4"/>
      <c r="T1" s="4"/>
      <c r="U1" s="4"/>
      <c r="V1" s="4"/>
    </row>
    <row r="3" spans="1:22" ht="16.149999999999999" customHeight="1">
      <c r="A3" s="8" t="s">
        <v>0</v>
      </c>
      <c r="B3" s="53" t="s">
        <v>1</v>
      </c>
      <c r="C3" s="53"/>
      <c r="D3" s="53"/>
      <c r="E3" s="9" t="s">
        <v>2</v>
      </c>
      <c r="F3" s="10" t="s">
        <v>6</v>
      </c>
      <c r="G3" s="10" t="s">
        <v>3</v>
      </c>
    </row>
    <row r="4" spans="1:22" ht="21" customHeight="1">
      <c r="A4" s="8"/>
      <c r="B4" s="11"/>
      <c r="C4" s="11"/>
      <c r="D4" s="11"/>
      <c r="E4" s="12">
        <v>41</v>
      </c>
      <c r="F4" s="13"/>
      <c r="G4" s="13"/>
    </row>
    <row r="5" spans="1:22" ht="15.75">
      <c r="A5" s="8">
        <v>1</v>
      </c>
      <c r="B5" s="8">
        <v>16</v>
      </c>
      <c r="C5" s="8">
        <v>8</v>
      </c>
      <c r="D5" s="14">
        <f>'Настройка параметров'!G5</f>
        <v>49</v>
      </c>
      <c r="E5" s="15">
        <f>E4*$A$15+C5*$B$15+B5*$C$15</f>
        <v>47.67416887585874</v>
      </c>
      <c r="F5" s="15">
        <f>D5-E5</f>
        <v>1.3258311241412599</v>
      </c>
      <c r="G5" s="16">
        <f>F5*F5</f>
        <v>1.7578281697416769</v>
      </c>
      <c r="J5" s="2">
        <f>A5</f>
        <v>1</v>
      </c>
      <c r="K5" s="6">
        <f>D5</f>
        <v>49</v>
      </c>
      <c r="L5" s="1">
        <f>E5</f>
        <v>47.67416887585874</v>
      </c>
    </row>
    <row r="6" spans="1:22" ht="15.75">
      <c r="A6" s="8">
        <v>2</v>
      </c>
      <c r="B6" s="8">
        <v>16</v>
      </c>
      <c r="C6" s="8">
        <v>8</v>
      </c>
      <c r="D6" s="14">
        <f>'Настройка параметров'!G6</f>
        <v>55</v>
      </c>
      <c r="E6" s="15">
        <f t="shared" ref="E6:E12" si="0">E5*$A$15+C6*$B$15+B6*$C$15</f>
        <v>54.148112685441724</v>
      </c>
      <c r="F6" s="15">
        <f t="shared" ref="F6:F12" si="1">D6-E6</f>
        <v>0.85188731455827593</v>
      </c>
      <c r="G6" s="16">
        <f t="shared" ref="G6:G12" si="2">F6*F6</f>
        <v>0.72571199670531095</v>
      </c>
      <c r="J6" s="2">
        <f t="shared" ref="J6:J12" si="3">A6</f>
        <v>2</v>
      </c>
      <c r="K6" s="6">
        <f t="shared" ref="K6:K12" si="4">D6</f>
        <v>55</v>
      </c>
      <c r="L6" s="1">
        <f t="shared" ref="L6:L12" si="5">E6</f>
        <v>54.148112685441724</v>
      </c>
    </row>
    <row r="7" spans="1:22" ht="15.75">
      <c r="A7" s="8">
        <v>3</v>
      </c>
      <c r="B7" s="8">
        <v>14</v>
      </c>
      <c r="C7" s="8">
        <v>10</v>
      </c>
      <c r="D7" s="14">
        <f>'Настройка параметров'!G7</f>
        <v>62</v>
      </c>
      <c r="E7" s="15">
        <f t="shared" si="0"/>
        <v>60.351496789278343</v>
      </c>
      <c r="F7" s="15">
        <f t="shared" si="1"/>
        <v>1.6485032107216568</v>
      </c>
      <c r="G7" s="16">
        <f t="shared" si="2"/>
        <v>2.7175628357596113</v>
      </c>
      <c r="J7" s="2">
        <f t="shared" si="3"/>
        <v>3</v>
      </c>
      <c r="K7" s="6">
        <f t="shared" si="4"/>
        <v>62</v>
      </c>
      <c r="L7" s="1">
        <f t="shared" si="5"/>
        <v>60.351496789278343</v>
      </c>
    </row>
    <row r="8" spans="1:22" ht="15.75">
      <c r="A8" s="8">
        <v>4</v>
      </c>
      <c r="B8" s="8">
        <v>10</v>
      </c>
      <c r="C8" s="8">
        <v>14</v>
      </c>
      <c r="D8" s="14">
        <f>'Настройка параметров'!G8</f>
        <v>63</v>
      </c>
      <c r="E8" s="15">
        <f t="shared" si="0"/>
        <v>66.216096587082106</v>
      </c>
      <c r="F8" s="15">
        <f t="shared" si="1"/>
        <v>-3.2160965870821059</v>
      </c>
      <c r="G8" s="16">
        <f t="shared" si="2"/>
        <v>10.343277257441169</v>
      </c>
      <c r="J8" s="2">
        <f t="shared" si="3"/>
        <v>4</v>
      </c>
      <c r="K8" s="6">
        <f t="shared" si="4"/>
        <v>63</v>
      </c>
      <c r="L8" s="1">
        <f t="shared" si="5"/>
        <v>66.216096587082106</v>
      </c>
    </row>
    <row r="9" spans="1:22" ht="15.75">
      <c r="A9" s="8">
        <v>5</v>
      </c>
      <c r="B9" s="8">
        <v>8</v>
      </c>
      <c r="C9" s="8">
        <v>16</v>
      </c>
      <c r="D9" s="14">
        <f>'Настройка параметров'!G9</f>
        <v>71</v>
      </c>
      <c r="E9" s="15">
        <f t="shared" si="0"/>
        <v>71.828416999492902</v>
      </c>
      <c r="F9" s="15">
        <f t="shared" si="1"/>
        <v>-0.8284169994929016</v>
      </c>
      <c r="G9" s="16">
        <f t="shared" si="2"/>
        <v>0.68627472504882214</v>
      </c>
      <c r="J9" s="2">
        <f t="shared" si="3"/>
        <v>5</v>
      </c>
      <c r="K9" s="6">
        <f t="shared" si="4"/>
        <v>71</v>
      </c>
      <c r="L9" s="1">
        <f t="shared" si="5"/>
        <v>71.828416999492902</v>
      </c>
    </row>
    <row r="10" spans="1:22" ht="15.75">
      <c r="A10" s="8">
        <v>6</v>
      </c>
      <c r="B10" s="8">
        <v>8</v>
      </c>
      <c r="C10" s="8">
        <v>16</v>
      </c>
      <c r="D10" s="14">
        <f>'Настройка параметров'!G10</f>
        <v>80</v>
      </c>
      <c r="E10" s="15">
        <f t="shared" si="0"/>
        <v>77.272367799531366</v>
      </c>
      <c r="F10" s="15">
        <f t="shared" si="1"/>
        <v>2.7276322004686335</v>
      </c>
      <c r="G10" s="16">
        <f t="shared" si="2"/>
        <v>7.43997742103336</v>
      </c>
      <c r="J10" s="2">
        <f t="shared" si="3"/>
        <v>6</v>
      </c>
      <c r="K10" s="6">
        <f t="shared" si="4"/>
        <v>80</v>
      </c>
      <c r="L10" s="1">
        <f t="shared" si="5"/>
        <v>77.272367799531366</v>
      </c>
    </row>
    <row r="11" spans="1:22" ht="15.75">
      <c r="A11" s="8">
        <v>7</v>
      </c>
      <c r="B11" s="8">
        <v>8</v>
      </c>
      <c r="C11" s="8">
        <v>16</v>
      </c>
      <c r="D11" s="14">
        <f>'Настройка параметров'!G11</f>
        <v>80</v>
      </c>
      <c r="E11" s="15">
        <f t="shared" si="0"/>
        <v>82.553000075568676</v>
      </c>
      <c r="F11" s="15">
        <f t="shared" si="1"/>
        <v>-2.5530000755686757</v>
      </c>
      <c r="G11" s="16">
        <f t="shared" si="2"/>
        <v>6.5178093858536634</v>
      </c>
      <c r="J11" s="2">
        <f t="shared" si="3"/>
        <v>7</v>
      </c>
      <c r="K11" s="6">
        <f t="shared" si="4"/>
        <v>80</v>
      </c>
      <c r="L11" s="1">
        <f t="shared" si="5"/>
        <v>82.553000075568676</v>
      </c>
    </row>
    <row r="12" spans="1:22" ht="15.75">
      <c r="A12" s="8">
        <v>8</v>
      </c>
      <c r="B12" s="8">
        <v>8</v>
      </c>
      <c r="C12" s="8">
        <v>16</v>
      </c>
      <c r="D12" s="14">
        <f>'Настройка параметров'!G12</f>
        <v>89</v>
      </c>
      <c r="E12" s="15">
        <f t="shared" si="0"/>
        <v>87.675213383324873</v>
      </c>
      <c r="F12" s="15">
        <f t="shared" si="1"/>
        <v>1.3247866166751265</v>
      </c>
      <c r="G12" s="16">
        <f t="shared" si="2"/>
        <v>1.7550595797215287</v>
      </c>
      <c r="J12" s="2">
        <f t="shared" si="3"/>
        <v>8</v>
      </c>
      <c r="K12" s="6">
        <f t="shared" si="4"/>
        <v>89</v>
      </c>
      <c r="L12" s="1">
        <f t="shared" si="5"/>
        <v>87.675213383324873</v>
      </c>
    </row>
    <row r="13" spans="1:22">
      <c r="E13" s="1"/>
      <c r="F13" s="1">
        <f>AVERAGE(F5:F12)</f>
        <v>0.1601408505526587</v>
      </c>
      <c r="G13" s="3">
        <f>AVERAGE(G5:G12)</f>
        <v>3.9929376714131433</v>
      </c>
    </row>
    <row r="14" spans="1:22">
      <c r="A14" t="s">
        <v>38</v>
      </c>
      <c r="B14" t="s">
        <v>39</v>
      </c>
      <c r="C14" t="s">
        <v>23</v>
      </c>
    </row>
    <row r="15" spans="1:22">
      <c r="A15" s="18">
        <v>0.97</v>
      </c>
      <c r="B15" s="18">
        <v>0.3038932393411567</v>
      </c>
      <c r="C15" s="18">
        <v>0.34206393507059307</v>
      </c>
      <c r="E15" t="s">
        <v>4</v>
      </c>
      <c r="G15" s="1">
        <f>_xlfn.VAR.S(D5:D12)</f>
        <v>189.41071428571428</v>
      </c>
    </row>
    <row r="16" spans="1:22">
      <c r="A16">
        <v>0.8</v>
      </c>
      <c r="E16" t="s">
        <v>5</v>
      </c>
      <c r="G16" s="1">
        <f>_xlfn.VAR.S(F5:F12)</f>
        <v>4.5340486621684732</v>
      </c>
    </row>
    <row r="17" spans="1:7">
      <c r="A17">
        <v>0.97</v>
      </c>
      <c r="E17" t="s">
        <v>7</v>
      </c>
      <c r="G17" s="3">
        <f>1-G16/G15</f>
        <v>0.97606234325620489</v>
      </c>
    </row>
    <row r="19" spans="1:7">
      <c r="A19" t="s">
        <v>31</v>
      </c>
    </row>
    <row r="20" spans="1:7">
      <c r="A20" t="s">
        <v>32</v>
      </c>
    </row>
    <row r="21" spans="1:7">
      <c r="A21" t="s">
        <v>33</v>
      </c>
      <c r="G21" s="36">
        <v>41</v>
      </c>
    </row>
    <row r="22" spans="1:7">
      <c r="A22" t="s">
        <v>34</v>
      </c>
      <c r="G22" s="37">
        <v>87.675213383324873</v>
      </c>
    </row>
    <row r="23" spans="1:7">
      <c r="A23" t="s">
        <v>35</v>
      </c>
      <c r="G23" s="36">
        <v>89</v>
      </c>
    </row>
    <row r="24" spans="1:7">
      <c r="A24" t="s">
        <v>36</v>
      </c>
      <c r="G24" s="37" t="s">
        <v>102</v>
      </c>
    </row>
  </sheetData>
  <mergeCells count="1">
    <mergeCell ref="B3:D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topLeftCell="A4" zoomScale="130" zoomScaleNormal="130" workbookViewId="0">
      <selection activeCell="H17" sqref="H17"/>
    </sheetView>
  </sheetViews>
  <sheetFormatPr defaultRowHeight="15"/>
  <cols>
    <col min="4" max="4" width="8.140625" customWidth="1"/>
    <col min="7" max="7" width="12.5703125" customWidth="1"/>
  </cols>
  <sheetData>
    <row r="1" spans="1:11" ht="23.25">
      <c r="A1" s="4" t="s">
        <v>26</v>
      </c>
      <c r="B1" s="5"/>
      <c r="C1" s="5"/>
      <c r="D1" s="5"/>
      <c r="E1" s="5"/>
      <c r="F1" s="5"/>
      <c r="G1" s="5"/>
    </row>
    <row r="2" spans="1:11" ht="12.6" customHeight="1"/>
    <row r="3" spans="1:11" ht="15.6" customHeight="1">
      <c r="A3" s="9" t="s">
        <v>27</v>
      </c>
      <c r="B3" s="40">
        <f>'Динамика обуч-ЭТАП 1'!A15</f>
        <v>0.97</v>
      </c>
      <c r="C3" s="10" t="s">
        <v>28</v>
      </c>
      <c r="D3" s="40">
        <f>'Динамика обуч-ЭТАП 1'!B15</f>
        <v>0.3038932393411567</v>
      </c>
      <c r="E3" s="13" t="s">
        <v>23</v>
      </c>
      <c r="F3" s="40">
        <f>'Динамика обуч-ЭТАП 1'!C15</f>
        <v>0.34206393507059307</v>
      </c>
    </row>
    <row r="4" spans="1:11" ht="11.45" customHeight="1">
      <c r="A4" s="32"/>
      <c r="B4" s="32"/>
      <c r="C4" s="32"/>
      <c r="D4" s="32"/>
      <c r="E4" s="33"/>
      <c r="F4" s="2"/>
      <c r="G4" s="2"/>
    </row>
    <row r="5" spans="1:11" ht="23.25">
      <c r="A5" s="30" t="s">
        <v>25</v>
      </c>
      <c r="B5" s="4"/>
      <c r="C5" s="4"/>
      <c r="D5" s="4"/>
      <c r="E5" s="4"/>
      <c r="F5" s="4"/>
      <c r="G5" s="4"/>
      <c r="I5" s="31"/>
    </row>
    <row r="6" spans="1:11" ht="34.9" customHeight="1">
      <c r="A6" s="17" t="s">
        <v>12</v>
      </c>
      <c r="B6" s="17"/>
      <c r="C6" s="26" t="s">
        <v>24</v>
      </c>
      <c r="D6" s="17"/>
      <c r="G6" s="26" t="s">
        <v>13</v>
      </c>
    </row>
    <row r="7" spans="1:11" ht="17.45" customHeight="1">
      <c r="A7" s="1">
        <f>'Настройка параметров'!G12</f>
        <v>89</v>
      </c>
      <c r="B7" s="2"/>
      <c r="C7" s="1">
        <f>A7</f>
        <v>89</v>
      </c>
      <c r="D7" s="1"/>
      <c r="E7" s="34">
        <v>4</v>
      </c>
      <c r="F7" s="34">
        <v>4.2519157757446449</v>
      </c>
      <c r="G7" s="25">
        <f>A7*B3+D3*E7+F3*F7</f>
        <v>88.999999999204576</v>
      </c>
      <c r="K7" s="42" t="s">
        <v>53</v>
      </c>
    </row>
    <row r="8" spans="1:11">
      <c r="G8" t="s">
        <v>29</v>
      </c>
    </row>
    <row r="9" spans="1:11">
      <c r="B9" t="s">
        <v>57</v>
      </c>
      <c r="E9" s="2">
        <v>4</v>
      </c>
      <c r="F9" s="2">
        <v>4</v>
      </c>
      <c r="G9" s="35">
        <f>E7+F7</f>
        <v>8.2519157757446457</v>
      </c>
    </row>
    <row r="11" spans="1:11">
      <c r="A11" s="28" t="s">
        <v>45</v>
      </c>
      <c r="B11" s="28"/>
      <c r="C11" s="28"/>
      <c r="D11" s="28"/>
    </row>
    <row r="12" spans="1:11">
      <c r="A12" t="s">
        <v>30</v>
      </c>
    </row>
    <row r="13" spans="1:11">
      <c r="A13" t="s">
        <v>40</v>
      </c>
    </row>
    <row r="14" spans="1:11">
      <c r="A14" t="s">
        <v>44</v>
      </c>
      <c r="E14" s="36">
        <v>4</v>
      </c>
    </row>
    <row r="15" spans="1:11">
      <c r="A15" t="s">
        <v>43</v>
      </c>
      <c r="H15" s="36">
        <v>4.25</v>
      </c>
    </row>
    <row r="16" spans="1:11">
      <c r="A16" t="s">
        <v>41</v>
      </c>
      <c r="G16" s="38" t="s">
        <v>102</v>
      </c>
    </row>
    <row r="17" spans="1:7">
      <c r="A17" t="s">
        <v>42</v>
      </c>
      <c r="F17" s="36"/>
      <c r="G17" s="36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Инд задание </vt:lpstr>
      <vt:lpstr>Настройка параметров</vt:lpstr>
      <vt:lpstr>Динамика обуч-ЭТАП 1</vt:lpstr>
      <vt:lpstr>Динамика обуч-ЭТАП-2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Ruslan Vdovin</cp:lastModifiedBy>
  <dcterms:created xsi:type="dcterms:W3CDTF">2025-05-05T08:06:45Z</dcterms:created>
  <dcterms:modified xsi:type="dcterms:W3CDTF">2026-09-20T11:14:12Z</dcterms:modified>
</cp:coreProperties>
</file>