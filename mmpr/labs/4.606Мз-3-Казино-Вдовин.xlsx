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defaultThemeVersion="124226"/>
  <xr:revisionPtr revIDLastSave="0" documentId="13_ncr:1_{9171DB74-A6EF-42E2-82F7-65001DE3A660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Задание-Казино" sheetId="12" r:id="rId1"/>
    <sheet name="ИГРА-1" sheetId="13" r:id="rId2"/>
    <sheet name="ИГРА-2-1" sheetId="16" r:id="rId3"/>
    <sheet name="ИГРА-2-2" sheetId="1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4" i="12" l="1"/>
  <c r="E54" i="17" l="1"/>
  <c r="B54" i="17" s="1"/>
  <c r="C54" i="17" s="1"/>
  <c r="G54" i="17" s="1"/>
  <c r="E53" i="17"/>
  <c r="B53" i="17" s="1"/>
  <c r="C53" i="17" s="1"/>
  <c r="G53" i="17" s="1"/>
  <c r="E52" i="17"/>
  <c r="B52" i="17" s="1"/>
  <c r="C52" i="17" s="1"/>
  <c r="G52" i="17" s="1"/>
  <c r="E51" i="17"/>
  <c r="B51" i="17" s="1"/>
  <c r="C51" i="17" s="1"/>
  <c r="G51" i="17" s="1"/>
  <c r="E50" i="17"/>
  <c r="B50" i="17" s="1"/>
  <c r="C50" i="17" s="1"/>
  <c r="G50" i="17" s="1"/>
  <c r="E49" i="17"/>
  <c r="B49" i="17" s="1"/>
  <c r="C49" i="17" s="1"/>
  <c r="G49" i="17" s="1"/>
  <c r="E48" i="17"/>
  <c r="B48" i="17" s="1"/>
  <c r="C48" i="17" s="1"/>
  <c r="G48" i="17" s="1"/>
  <c r="E47" i="17"/>
  <c r="B47" i="17" s="1"/>
  <c r="C47" i="17" s="1"/>
  <c r="G47" i="17" s="1"/>
  <c r="E46" i="17"/>
  <c r="B46" i="17" s="1"/>
  <c r="C46" i="17" s="1"/>
  <c r="G46" i="17" s="1"/>
  <c r="E45" i="17"/>
  <c r="B45" i="17" s="1"/>
  <c r="C45" i="17" s="1"/>
  <c r="G45" i="17" s="1"/>
  <c r="E44" i="17"/>
  <c r="B44" i="17" s="1"/>
  <c r="C44" i="17" s="1"/>
  <c r="G44" i="17" s="1"/>
  <c r="E43" i="17"/>
  <c r="B43" i="17" s="1"/>
  <c r="C43" i="17" s="1"/>
  <c r="G43" i="17" s="1"/>
  <c r="E42" i="17"/>
  <c r="B42" i="17" s="1"/>
  <c r="C42" i="17" s="1"/>
  <c r="G42" i="17" s="1"/>
  <c r="E41" i="17"/>
  <c r="B41" i="17" s="1"/>
  <c r="C41" i="17" s="1"/>
  <c r="G41" i="17" s="1"/>
  <c r="E40" i="17"/>
  <c r="B40" i="17" s="1"/>
  <c r="C40" i="17" s="1"/>
  <c r="G40" i="17" s="1"/>
  <c r="E39" i="17"/>
  <c r="B39" i="17" s="1"/>
  <c r="C39" i="17" s="1"/>
  <c r="G39" i="17" s="1"/>
  <c r="E38" i="17"/>
  <c r="B38" i="17" s="1"/>
  <c r="C38" i="17" s="1"/>
  <c r="G38" i="17" s="1"/>
  <c r="E37" i="17"/>
  <c r="B37" i="17" s="1"/>
  <c r="C37" i="17" s="1"/>
  <c r="G37" i="17" s="1"/>
  <c r="E36" i="17"/>
  <c r="B36" i="17" s="1"/>
  <c r="C36" i="17" s="1"/>
  <c r="G36" i="17" s="1"/>
  <c r="E35" i="17"/>
  <c r="B35" i="17" s="1"/>
  <c r="C35" i="17" s="1"/>
  <c r="G35" i="17" s="1"/>
  <c r="E34" i="17"/>
  <c r="B34" i="17" s="1"/>
  <c r="C34" i="17" s="1"/>
  <c r="G34" i="17" s="1"/>
  <c r="E33" i="17"/>
  <c r="B33" i="17" s="1"/>
  <c r="C33" i="17" s="1"/>
  <c r="G33" i="17" s="1"/>
  <c r="E32" i="17"/>
  <c r="B32" i="17" s="1"/>
  <c r="C32" i="17" s="1"/>
  <c r="G32" i="17" s="1"/>
  <c r="E31" i="17"/>
  <c r="B31" i="17" s="1"/>
  <c r="C31" i="17" s="1"/>
  <c r="G31" i="17" s="1"/>
  <c r="E30" i="17"/>
  <c r="B30" i="17" s="1"/>
  <c r="C30" i="17" s="1"/>
  <c r="G30" i="17" s="1"/>
  <c r="E29" i="17"/>
  <c r="B29" i="17" s="1"/>
  <c r="C29" i="17" s="1"/>
  <c r="G29" i="17" s="1"/>
  <c r="E28" i="17"/>
  <c r="B28" i="17" s="1"/>
  <c r="C28" i="17" s="1"/>
  <c r="G28" i="17" s="1"/>
  <c r="E27" i="17"/>
  <c r="B27" i="17" s="1"/>
  <c r="C27" i="17" s="1"/>
  <c r="G27" i="17" s="1"/>
  <c r="E26" i="17"/>
  <c r="B26" i="17" s="1"/>
  <c r="C26" i="17" s="1"/>
  <c r="G26" i="17" s="1"/>
  <c r="E25" i="17"/>
  <c r="B25" i="17" s="1"/>
  <c r="E24" i="17"/>
  <c r="B24" i="17" s="1"/>
  <c r="C24" i="17" s="1"/>
  <c r="G24" i="17" s="1"/>
  <c r="E23" i="17"/>
  <c r="B23" i="17" s="1"/>
  <c r="E22" i="17"/>
  <c r="B22" i="17" s="1"/>
  <c r="C22" i="17" s="1"/>
  <c r="G22" i="17" s="1"/>
  <c r="E21" i="17"/>
  <c r="B21" i="17" s="1"/>
  <c r="E20" i="17"/>
  <c r="B20" i="17" s="1"/>
  <c r="E19" i="17"/>
  <c r="B19" i="17" s="1"/>
  <c r="C19" i="17" s="1"/>
  <c r="G19" i="17" s="1"/>
  <c r="U18" i="17"/>
  <c r="L20" i="17" s="1"/>
  <c r="E18" i="17"/>
  <c r="B18" i="17" s="1"/>
  <c r="C18" i="17" s="1"/>
  <c r="G18" i="17" s="1"/>
  <c r="E17" i="17"/>
  <c r="B17" i="17" s="1"/>
  <c r="C17" i="17" s="1"/>
  <c r="G17" i="17" s="1"/>
  <c r="E16" i="17"/>
  <c r="B16" i="17" s="1"/>
  <c r="E15" i="17"/>
  <c r="B15" i="17" s="1"/>
  <c r="C15" i="17" s="1"/>
  <c r="G15" i="17" s="1"/>
  <c r="E14" i="17"/>
  <c r="B14" i="17" s="1"/>
  <c r="E13" i="17"/>
  <c r="B13" i="17" s="1"/>
  <c r="C13" i="17" s="1"/>
  <c r="G13" i="17" s="1"/>
  <c r="E12" i="17"/>
  <c r="B12" i="17" s="1"/>
  <c r="E11" i="17"/>
  <c r="B11" i="17" s="1"/>
  <c r="C11" i="17" s="1"/>
  <c r="G11" i="17" s="1"/>
  <c r="E10" i="17"/>
  <c r="B10" i="17" s="1"/>
  <c r="E9" i="17"/>
  <c r="B9" i="17" s="1"/>
  <c r="E8" i="17"/>
  <c r="B8" i="17" s="1"/>
  <c r="C8" i="17" s="1"/>
  <c r="G8" i="17" s="1"/>
  <c r="U7" i="17"/>
  <c r="L9" i="17" s="1"/>
  <c r="P23" i="17" s="1"/>
  <c r="E7" i="17"/>
  <c r="B7" i="17" s="1"/>
  <c r="C7" i="17" s="1"/>
  <c r="G7" i="17" s="1"/>
  <c r="E6" i="17"/>
  <c r="B6" i="17" s="1"/>
  <c r="C6" i="17" s="1"/>
  <c r="G6" i="17" s="1"/>
  <c r="E5" i="17"/>
  <c r="B5" i="17" s="1"/>
  <c r="U18" i="16"/>
  <c r="L20" i="16" s="1"/>
  <c r="E54" i="16"/>
  <c r="B54" i="16" s="1"/>
  <c r="E53" i="16"/>
  <c r="B53" i="16" s="1"/>
  <c r="C53" i="16" s="1"/>
  <c r="G53" i="16" s="1"/>
  <c r="E52" i="16"/>
  <c r="B52" i="16" s="1"/>
  <c r="E51" i="16"/>
  <c r="B51" i="16" s="1"/>
  <c r="C51" i="16" s="1"/>
  <c r="G51" i="16" s="1"/>
  <c r="E50" i="16"/>
  <c r="B50" i="16" s="1"/>
  <c r="E49" i="16"/>
  <c r="B49" i="16" s="1"/>
  <c r="C49" i="16" s="1"/>
  <c r="G49" i="16" s="1"/>
  <c r="E48" i="16"/>
  <c r="B48" i="16" s="1"/>
  <c r="E47" i="16"/>
  <c r="B47" i="16" s="1"/>
  <c r="C47" i="16" s="1"/>
  <c r="G47" i="16" s="1"/>
  <c r="E46" i="16"/>
  <c r="B46" i="16" s="1"/>
  <c r="E45" i="16"/>
  <c r="B45" i="16" s="1"/>
  <c r="C45" i="16" s="1"/>
  <c r="G45" i="16" s="1"/>
  <c r="E44" i="16"/>
  <c r="B44" i="16" s="1"/>
  <c r="E43" i="16"/>
  <c r="B43" i="16" s="1"/>
  <c r="C43" i="16" s="1"/>
  <c r="G43" i="16" s="1"/>
  <c r="E42" i="16"/>
  <c r="B42" i="16" s="1"/>
  <c r="E41" i="16"/>
  <c r="B41" i="16" s="1"/>
  <c r="C41" i="16" s="1"/>
  <c r="G41" i="16" s="1"/>
  <c r="E40" i="16"/>
  <c r="B40" i="16" s="1"/>
  <c r="E39" i="16"/>
  <c r="B39" i="16" s="1"/>
  <c r="C39" i="16" s="1"/>
  <c r="G39" i="16" s="1"/>
  <c r="E38" i="16"/>
  <c r="B38" i="16" s="1"/>
  <c r="E37" i="16"/>
  <c r="B37" i="16" s="1"/>
  <c r="C37" i="16" s="1"/>
  <c r="G37" i="16" s="1"/>
  <c r="E36" i="16"/>
  <c r="B36" i="16" s="1"/>
  <c r="E35" i="16"/>
  <c r="B35" i="16" s="1"/>
  <c r="C35" i="16" s="1"/>
  <c r="G35" i="16" s="1"/>
  <c r="E34" i="16"/>
  <c r="B34" i="16" s="1"/>
  <c r="E33" i="16"/>
  <c r="B33" i="16" s="1"/>
  <c r="C33" i="16" s="1"/>
  <c r="G33" i="16" s="1"/>
  <c r="E32" i="16"/>
  <c r="B32" i="16" s="1"/>
  <c r="E31" i="16"/>
  <c r="B31" i="16" s="1"/>
  <c r="C31" i="16" s="1"/>
  <c r="G31" i="16" s="1"/>
  <c r="E30" i="16"/>
  <c r="B30" i="16" s="1"/>
  <c r="E29" i="16"/>
  <c r="B29" i="16" s="1"/>
  <c r="C29" i="16" s="1"/>
  <c r="G29" i="16" s="1"/>
  <c r="E28" i="16"/>
  <c r="B28" i="16" s="1"/>
  <c r="E27" i="16"/>
  <c r="B27" i="16" s="1"/>
  <c r="C27" i="16" s="1"/>
  <c r="G27" i="16" s="1"/>
  <c r="E26" i="16"/>
  <c r="B26" i="16" s="1"/>
  <c r="E25" i="16"/>
  <c r="B25" i="16" s="1"/>
  <c r="C25" i="16" s="1"/>
  <c r="G25" i="16" s="1"/>
  <c r="E24" i="16"/>
  <c r="B24" i="16" s="1"/>
  <c r="E23" i="16"/>
  <c r="B23" i="16" s="1"/>
  <c r="C23" i="16" s="1"/>
  <c r="G23" i="16" s="1"/>
  <c r="E22" i="16"/>
  <c r="B22" i="16" s="1"/>
  <c r="E21" i="16"/>
  <c r="B21" i="16" s="1"/>
  <c r="C21" i="16" s="1"/>
  <c r="G21" i="16" s="1"/>
  <c r="E20" i="16"/>
  <c r="B20" i="16" s="1"/>
  <c r="E19" i="16"/>
  <c r="B19" i="16" s="1"/>
  <c r="C19" i="16" s="1"/>
  <c r="G19" i="16" s="1"/>
  <c r="E18" i="16"/>
  <c r="B18" i="16" s="1"/>
  <c r="E17" i="16"/>
  <c r="B17" i="16" s="1"/>
  <c r="E16" i="16"/>
  <c r="B16" i="16" s="1"/>
  <c r="E15" i="16"/>
  <c r="B15" i="16" s="1"/>
  <c r="C15" i="16" s="1"/>
  <c r="G15" i="16" s="1"/>
  <c r="E14" i="16"/>
  <c r="B14" i="16" s="1"/>
  <c r="E13" i="16"/>
  <c r="B13" i="16" s="1"/>
  <c r="C13" i="16" s="1"/>
  <c r="G13" i="16" s="1"/>
  <c r="E12" i="16"/>
  <c r="B12" i="16" s="1"/>
  <c r="E11" i="16"/>
  <c r="B11" i="16" s="1"/>
  <c r="C11" i="16" s="1"/>
  <c r="G11" i="16" s="1"/>
  <c r="E10" i="16"/>
  <c r="B10" i="16" s="1"/>
  <c r="E9" i="16"/>
  <c r="B9" i="16" s="1"/>
  <c r="E8" i="16"/>
  <c r="B8" i="16" s="1"/>
  <c r="C8" i="16" s="1"/>
  <c r="G8" i="16" s="1"/>
  <c r="U7" i="16"/>
  <c r="L9" i="16" s="1"/>
  <c r="N23" i="17" s="1"/>
  <c r="E7" i="16"/>
  <c r="B7" i="16" s="1"/>
  <c r="C7" i="16" s="1"/>
  <c r="G7" i="16" s="1"/>
  <c r="E6" i="16"/>
  <c r="B6" i="16" s="1"/>
  <c r="C6" i="16" s="1"/>
  <c r="G6" i="16" s="1"/>
  <c r="E5" i="16"/>
  <c r="B5" i="16" s="1"/>
  <c r="S7" i="13"/>
  <c r="J9" i="13" s="1"/>
  <c r="L23" i="17" s="1"/>
  <c r="E48" i="13"/>
  <c r="B48" i="13" s="1"/>
  <c r="E49" i="13"/>
  <c r="B49" i="13" s="1"/>
  <c r="E50" i="13"/>
  <c r="B50" i="13" s="1"/>
  <c r="E51" i="13"/>
  <c r="B51" i="13" s="1"/>
  <c r="E52" i="13"/>
  <c r="B52" i="13" s="1"/>
  <c r="E53" i="13"/>
  <c r="B53" i="13" s="1"/>
  <c r="E54" i="13"/>
  <c r="B54" i="13" s="1"/>
  <c r="E28" i="13"/>
  <c r="B28" i="13" s="1"/>
  <c r="E29" i="13"/>
  <c r="B29" i="13" s="1"/>
  <c r="E30" i="13"/>
  <c r="B30" i="13" s="1"/>
  <c r="E31" i="13"/>
  <c r="B31" i="13" s="1"/>
  <c r="E32" i="13"/>
  <c r="B32" i="13" s="1"/>
  <c r="E33" i="13"/>
  <c r="B33" i="13" s="1"/>
  <c r="E34" i="13"/>
  <c r="B34" i="13" s="1"/>
  <c r="E35" i="13"/>
  <c r="B35" i="13" s="1"/>
  <c r="E36" i="13"/>
  <c r="B36" i="13" s="1"/>
  <c r="E37" i="13"/>
  <c r="B37" i="13" s="1"/>
  <c r="E38" i="13"/>
  <c r="B38" i="13" s="1"/>
  <c r="E39" i="13"/>
  <c r="B39" i="13" s="1"/>
  <c r="E40" i="13"/>
  <c r="B40" i="13" s="1"/>
  <c r="E41" i="13"/>
  <c r="B41" i="13" s="1"/>
  <c r="E42" i="13"/>
  <c r="B42" i="13" s="1"/>
  <c r="E43" i="13"/>
  <c r="B43" i="13" s="1"/>
  <c r="E44" i="13"/>
  <c r="B44" i="13" s="1"/>
  <c r="E45" i="13"/>
  <c r="B45" i="13" s="1"/>
  <c r="E46" i="13"/>
  <c r="B46" i="13" s="1"/>
  <c r="E47" i="13"/>
  <c r="B47" i="13" s="1"/>
  <c r="E6" i="13"/>
  <c r="B6" i="13" s="1"/>
  <c r="E7" i="13"/>
  <c r="B7" i="13" s="1"/>
  <c r="E8" i="13"/>
  <c r="B8" i="13" s="1"/>
  <c r="E9" i="13"/>
  <c r="B9" i="13" s="1"/>
  <c r="E10" i="13"/>
  <c r="B10" i="13" s="1"/>
  <c r="E11" i="13"/>
  <c r="B11" i="13" s="1"/>
  <c r="E12" i="13"/>
  <c r="B12" i="13" s="1"/>
  <c r="E13" i="13"/>
  <c r="B13" i="13" s="1"/>
  <c r="E14" i="13"/>
  <c r="B14" i="13" s="1"/>
  <c r="E15" i="13"/>
  <c r="B15" i="13" s="1"/>
  <c r="E16" i="13"/>
  <c r="B16" i="13" s="1"/>
  <c r="E17" i="13"/>
  <c r="B17" i="13" s="1"/>
  <c r="C17" i="13" s="1"/>
  <c r="E18" i="13"/>
  <c r="B18" i="13" s="1"/>
  <c r="E19" i="13"/>
  <c r="B19" i="13" s="1"/>
  <c r="E20" i="13"/>
  <c r="B20" i="13" s="1"/>
  <c r="E21" i="13"/>
  <c r="B21" i="13" s="1"/>
  <c r="E22" i="13"/>
  <c r="B22" i="13" s="1"/>
  <c r="E23" i="13"/>
  <c r="B23" i="13" s="1"/>
  <c r="C23" i="13" s="1"/>
  <c r="E24" i="13"/>
  <c r="B24" i="13" s="1"/>
  <c r="E25" i="13"/>
  <c r="B25" i="13" s="1"/>
  <c r="C25" i="13" s="1"/>
  <c r="E26" i="13"/>
  <c r="B26" i="13" s="1"/>
  <c r="E27" i="13"/>
  <c r="B27" i="13" s="1"/>
  <c r="C27" i="13" s="1"/>
  <c r="E5" i="13"/>
  <c r="B5" i="13" s="1"/>
  <c r="C5" i="13" s="1"/>
  <c r="D27" i="17" l="1"/>
  <c r="H27" i="17" s="1"/>
  <c r="I27" i="17" s="1"/>
  <c r="F27" i="17"/>
  <c r="D29" i="17"/>
  <c r="F29" i="17"/>
  <c r="D31" i="17"/>
  <c r="H31" i="17" s="1"/>
  <c r="I31" i="17" s="1"/>
  <c r="F31" i="17"/>
  <c r="D33" i="17"/>
  <c r="H33" i="17" s="1"/>
  <c r="I33" i="17" s="1"/>
  <c r="F33" i="17"/>
  <c r="D35" i="17"/>
  <c r="H35" i="17" s="1"/>
  <c r="I35" i="17" s="1"/>
  <c r="F35" i="17"/>
  <c r="D37" i="17"/>
  <c r="H37" i="17" s="1"/>
  <c r="I37" i="17" s="1"/>
  <c r="F37" i="17"/>
  <c r="D39" i="17"/>
  <c r="H39" i="17" s="1"/>
  <c r="I39" i="17" s="1"/>
  <c r="F39" i="17"/>
  <c r="D41" i="17"/>
  <c r="H41" i="17" s="1"/>
  <c r="I41" i="17" s="1"/>
  <c r="F41" i="17"/>
  <c r="D43" i="17"/>
  <c r="H43" i="17" s="1"/>
  <c r="I43" i="17" s="1"/>
  <c r="F43" i="17"/>
  <c r="D45" i="17"/>
  <c r="H45" i="17" s="1"/>
  <c r="I45" i="17" s="1"/>
  <c r="F45" i="17"/>
  <c r="D47" i="17"/>
  <c r="H47" i="17" s="1"/>
  <c r="I47" i="17" s="1"/>
  <c r="F47" i="17"/>
  <c r="D49" i="17"/>
  <c r="H49" i="17" s="1"/>
  <c r="I49" i="17" s="1"/>
  <c r="F49" i="17"/>
  <c r="D51" i="17"/>
  <c r="H51" i="17" s="1"/>
  <c r="I51" i="17" s="1"/>
  <c r="F51" i="17"/>
  <c r="D53" i="17"/>
  <c r="H53" i="17" s="1"/>
  <c r="I53" i="17" s="1"/>
  <c r="F53" i="17"/>
  <c r="F5" i="17"/>
  <c r="F9" i="17"/>
  <c r="F10" i="17"/>
  <c r="F14" i="17"/>
  <c r="C14" i="17"/>
  <c r="G14" i="17" s="1"/>
  <c r="F23" i="17"/>
  <c r="C23" i="17"/>
  <c r="C5" i="17"/>
  <c r="G5" i="17" s="1"/>
  <c r="D6" i="17"/>
  <c r="H6" i="17" s="1"/>
  <c r="I6" i="17" s="1"/>
  <c r="F6" i="17"/>
  <c r="D7" i="17"/>
  <c r="H7" i="17" s="1"/>
  <c r="I7" i="17" s="1"/>
  <c r="F7" i="17"/>
  <c r="D8" i="17"/>
  <c r="H8" i="17" s="1"/>
  <c r="I8" i="17" s="1"/>
  <c r="F8" i="17"/>
  <c r="C9" i="17"/>
  <c r="G9" i="17" s="1"/>
  <c r="C10" i="17"/>
  <c r="G10" i="17" s="1"/>
  <c r="F12" i="17"/>
  <c r="C12" i="17"/>
  <c r="F16" i="17"/>
  <c r="C16" i="17"/>
  <c r="G16" i="17" s="1"/>
  <c r="F20" i="17"/>
  <c r="C20" i="17"/>
  <c r="F21" i="17"/>
  <c r="C21" i="17"/>
  <c r="G21" i="17" s="1"/>
  <c r="F25" i="17"/>
  <c r="C25" i="17"/>
  <c r="D11" i="17"/>
  <c r="H11" i="17" s="1"/>
  <c r="I11" i="17" s="1"/>
  <c r="F11" i="17"/>
  <c r="D13" i="17"/>
  <c r="H13" i="17" s="1"/>
  <c r="I13" i="17" s="1"/>
  <c r="F13" i="17"/>
  <c r="D15" i="17"/>
  <c r="H15" i="17" s="1"/>
  <c r="I15" i="17" s="1"/>
  <c r="F15" i="17"/>
  <c r="D17" i="17"/>
  <c r="H17" i="17" s="1"/>
  <c r="I17" i="17" s="1"/>
  <c r="F17" i="17"/>
  <c r="D18" i="17"/>
  <c r="H18" i="17" s="1"/>
  <c r="I18" i="17" s="1"/>
  <c r="F18" i="17"/>
  <c r="D19" i="17"/>
  <c r="H19" i="17" s="1"/>
  <c r="I19" i="17" s="1"/>
  <c r="F19" i="17"/>
  <c r="D22" i="17"/>
  <c r="H22" i="17" s="1"/>
  <c r="I22" i="17" s="1"/>
  <c r="F22" i="17"/>
  <c r="D24" i="17"/>
  <c r="H24" i="17" s="1"/>
  <c r="I24" i="17" s="1"/>
  <c r="F24" i="17"/>
  <c r="D26" i="17"/>
  <c r="H26" i="17" s="1"/>
  <c r="I26" i="17" s="1"/>
  <c r="F26" i="17"/>
  <c r="F28" i="17"/>
  <c r="D28" i="17"/>
  <c r="H28" i="17" s="1"/>
  <c r="I28" i="17" s="1"/>
  <c r="H29" i="17"/>
  <c r="I29" i="17" s="1"/>
  <c r="F30" i="17"/>
  <c r="D30" i="17"/>
  <c r="H30" i="17" s="1"/>
  <c r="I30" i="17" s="1"/>
  <c r="F32" i="17"/>
  <c r="D32" i="17"/>
  <c r="H32" i="17" s="1"/>
  <c r="I32" i="17" s="1"/>
  <c r="F34" i="17"/>
  <c r="D34" i="17"/>
  <c r="H34" i="17" s="1"/>
  <c r="I34" i="17" s="1"/>
  <c r="F36" i="17"/>
  <c r="D36" i="17"/>
  <c r="H36" i="17" s="1"/>
  <c r="I36" i="17" s="1"/>
  <c r="F38" i="17"/>
  <c r="D38" i="17"/>
  <c r="H38" i="17" s="1"/>
  <c r="I38" i="17" s="1"/>
  <c r="F40" i="17"/>
  <c r="D40" i="17"/>
  <c r="H40" i="17" s="1"/>
  <c r="I40" i="17" s="1"/>
  <c r="F42" i="17"/>
  <c r="D42" i="17"/>
  <c r="H42" i="17" s="1"/>
  <c r="I42" i="17" s="1"/>
  <c r="F44" i="17"/>
  <c r="D44" i="17"/>
  <c r="H44" i="17" s="1"/>
  <c r="I44" i="17" s="1"/>
  <c r="F46" i="17"/>
  <c r="D46" i="17"/>
  <c r="H46" i="17" s="1"/>
  <c r="I46" i="17" s="1"/>
  <c r="F48" i="17"/>
  <c r="D48" i="17"/>
  <c r="H48" i="17" s="1"/>
  <c r="I48" i="17" s="1"/>
  <c r="F50" i="17"/>
  <c r="D50" i="17"/>
  <c r="H50" i="17" s="1"/>
  <c r="I50" i="17" s="1"/>
  <c r="F52" i="17"/>
  <c r="D52" i="17"/>
  <c r="H52" i="17" s="1"/>
  <c r="I52" i="17" s="1"/>
  <c r="F54" i="17"/>
  <c r="D54" i="17"/>
  <c r="H54" i="17" s="1"/>
  <c r="I54" i="17" s="1"/>
  <c r="F5" i="16"/>
  <c r="F9" i="16"/>
  <c r="F10" i="16"/>
  <c r="F12" i="16"/>
  <c r="F14" i="16"/>
  <c r="F16" i="16"/>
  <c r="C17" i="16"/>
  <c r="G17" i="16" s="1"/>
  <c r="F17" i="16"/>
  <c r="F20" i="16"/>
  <c r="C20" i="16"/>
  <c r="G20" i="16" s="1"/>
  <c r="F24" i="16"/>
  <c r="C24" i="16"/>
  <c r="G24" i="16" s="1"/>
  <c r="C5" i="16"/>
  <c r="G5" i="16" s="1"/>
  <c r="D6" i="16"/>
  <c r="H6" i="16" s="1"/>
  <c r="F6" i="16"/>
  <c r="D7" i="16"/>
  <c r="H7" i="16" s="1"/>
  <c r="F7" i="16"/>
  <c r="D8" i="16"/>
  <c r="H8" i="16" s="1"/>
  <c r="F8" i="16"/>
  <c r="C9" i="16"/>
  <c r="G9" i="16" s="1"/>
  <c r="C10" i="16"/>
  <c r="G10" i="16" s="1"/>
  <c r="D11" i="16"/>
  <c r="H11" i="16" s="1"/>
  <c r="F11" i="16"/>
  <c r="C12" i="16"/>
  <c r="G12" i="16" s="1"/>
  <c r="D13" i="16"/>
  <c r="H13" i="16" s="1"/>
  <c r="F13" i="16"/>
  <c r="C14" i="16"/>
  <c r="G14" i="16" s="1"/>
  <c r="D15" i="16"/>
  <c r="H15" i="16" s="1"/>
  <c r="F15" i="16"/>
  <c r="C16" i="16"/>
  <c r="G16" i="16" s="1"/>
  <c r="F18" i="16"/>
  <c r="C18" i="16"/>
  <c r="G18" i="16" s="1"/>
  <c r="F22" i="16"/>
  <c r="C22" i="16"/>
  <c r="G22" i="16" s="1"/>
  <c r="F26" i="16"/>
  <c r="C26" i="16"/>
  <c r="G26" i="16" s="1"/>
  <c r="D19" i="16"/>
  <c r="H19" i="16" s="1"/>
  <c r="F19" i="16"/>
  <c r="D21" i="16"/>
  <c r="H21" i="16" s="1"/>
  <c r="F21" i="16"/>
  <c r="D23" i="16"/>
  <c r="H23" i="16" s="1"/>
  <c r="F23" i="16"/>
  <c r="D25" i="16"/>
  <c r="H25" i="16" s="1"/>
  <c r="F25" i="16"/>
  <c r="F28" i="16"/>
  <c r="F30" i="16"/>
  <c r="F32" i="16"/>
  <c r="F34" i="16"/>
  <c r="F36" i="16"/>
  <c r="F38" i="16"/>
  <c r="F40" i="16"/>
  <c r="F42" i="16"/>
  <c r="F44" i="16"/>
  <c r="F46" i="16"/>
  <c r="F48" i="16"/>
  <c r="F50" i="16"/>
  <c r="F52" i="16"/>
  <c r="F54" i="16"/>
  <c r="D27" i="16"/>
  <c r="H27" i="16" s="1"/>
  <c r="F27" i="16"/>
  <c r="C28" i="16"/>
  <c r="G28" i="16" s="1"/>
  <c r="D29" i="16"/>
  <c r="H29" i="16" s="1"/>
  <c r="F29" i="16"/>
  <c r="C30" i="16"/>
  <c r="G30" i="16" s="1"/>
  <c r="D31" i="16"/>
  <c r="H31" i="16" s="1"/>
  <c r="F31" i="16"/>
  <c r="C32" i="16"/>
  <c r="G32" i="16" s="1"/>
  <c r="D33" i="16"/>
  <c r="H33" i="16" s="1"/>
  <c r="F33" i="16"/>
  <c r="C34" i="16"/>
  <c r="G34" i="16" s="1"/>
  <c r="D35" i="16"/>
  <c r="H35" i="16" s="1"/>
  <c r="F35" i="16"/>
  <c r="C36" i="16"/>
  <c r="G36" i="16" s="1"/>
  <c r="D37" i="16"/>
  <c r="H37" i="16" s="1"/>
  <c r="F37" i="16"/>
  <c r="C38" i="16"/>
  <c r="G38" i="16" s="1"/>
  <c r="D39" i="16"/>
  <c r="H39" i="16" s="1"/>
  <c r="F39" i="16"/>
  <c r="C40" i="16"/>
  <c r="G40" i="16" s="1"/>
  <c r="D41" i="16"/>
  <c r="H41" i="16" s="1"/>
  <c r="F41" i="16"/>
  <c r="C42" i="16"/>
  <c r="G42" i="16" s="1"/>
  <c r="D43" i="16"/>
  <c r="H43" i="16" s="1"/>
  <c r="F43" i="16"/>
  <c r="C44" i="16"/>
  <c r="G44" i="16" s="1"/>
  <c r="D45" i="16"/>
  <c r="H45" i="16" s="1"/>
  <c r="F45" i="16"/>
  <c r="C46" i="16"/>
  <c r="G46" i="16" s="1"/>
  <c r="D47" i="16"/>
  <c r="H47" i="16" s="1"/>
  <c r="F47" i="16"/>
  <c r="C48" i="16"/>
  <c r="G48" i="16" s="1"/>
  <c r="D49" i="16"/>
  <c r="H49" i="16" s="1"/>
  <c r="F49" i="16"/>
  <c r="C50" i="16"/>
  <c r="G50" i="16" s="1"/>
  <c r="D51" i="16"/>
  <c r="H51" i="16" s="1"/>
  <c r="F51" i="16"/>
  <c r="C52" i="16"/>
  <c r="G52" i="16" s="1"/>
  <c r="D53" i="16"/>
  <c r="H53" i="16" s="1"/>
  <c r="F53" i="16"/>
  <c r="C54" i="16"/>
  <c r="G54" i="16" s="1"/>
  <c r="C50" i="13"/>
  <c r="D50" i="13" s="1"/>
  <c r="F50" i="13"/>
  <c r="C29" i="13"/>
  <c r="D29" i="13" s="1"/>
  <c r="F29" i="13"/>
  <c r="C54" i="13"/>
  <c r="D54" i="13" s="1"/>
  <c r="F54" i="13"/>
  <c r="C52" i="13"/>
  <c r="D52" i="13" s="1"/>
  <c r="F52" i="13"/>
  <c r="C48" i="13"/>
  <c r="D48" i="13" s="1"/>
  <c r="F48" i="13"/>
  <c r="C47" i="13"/>
  <c r="D47" i="13" s="1"/>
  <c r="F47" i="13"/>
  <c r="C43" i="13"/>
  <c r="D43" i="13" s="1"/>
  <c r="F43" i="13"/>
  <c r="C39" i="13"/>
  <c r="D39" i="13" s="1"/>
  <c r="F39" i="13"/>
  <c r="C35" i="13"/>
  <c r="D35" i="13" s="1"/>
  <c r="F35" i="13"/>
  <c r="C53" i="13"/>
  <c r="D53" i="13" s="1"/>
  <c r="F53" i="13"/>
  <c r="C45" i="13"/>
  <c r="D45" i="13" s="1"/>
  <c r="F45" i="13"/>
  <c r="C41" i="13"/>
  <c r="D41" i="13" s="1"/>
  <c r="F41" i="13"/>
  <c r="C37" i="13"/>
  <c r="D37" i="13" s="1"/>
  <c r="F37" i="13"/>
  <c r="C33" i="13"/>
  <c r="D33" i="13" s="1"/>
  <c r="F33" i="13"/>
  <c r="C31" i="13"/>
  <c r="D31" i="13" s="1"/>
  <c r="F31" i="13"/>
  <c r="C51" i="13"/>
  <c r="D51" i="13" s="1"/>
  <c r="F51" i="13"/>
  <c r="C49" i="13"/>
  <c r="D49" i="13" s="1"/>
  <c r="F49" i="13"/>
  <c r="F34" i="13"/>
  <c r="C34" i="13"/>
  <c r="D34" i="13" s="1"/>
  <c r="F30" i="13"/>
  <c r="C30" i="13"/>
  <c r="D30" i="13" s="1"/>
  <c r="F28" i="13"/>
  <c r="C28" i="13"/>
  <c r="D28" i="13" s="1"/>
  <c r="F46" i="13"/>
  <c r="C46" i="13"/>
  <c r="D46" i="13" s="1"/>
  <c r="F44" i="13"/>
  <c r="C44" i="13"/>
  <c r="D44" i="13" s="1"/>
  <c r="F42" i="13"/>
  <c r="C42" i="13"/>
  <c r="D42" i="13" s="1"/>
  <c r="F40" i="13"/>
  <c r="C40" i="13"/>
  <c r="D40" i="13" s="1"/>
  <c r="F38" i="13"/>
  <c r="C38" i="13"/>
  <c r="D38" i="13" s="1"/>
  <c r="F36" i="13"/>
  <c r="C36" i="13"/>
  <c r="D36" i="13" s="1"/>
  <c r="F32" i="13"/>
  <c r="C32" i="13"/>
  <c r="D32" i="13" s="1"/>
  <c r="C15" i="13"/>
  <c r="D15" i="13" s="1"/>
  <c r="F15" i="13"/>
  <c r="C13" i="13"/>
  <c r="D13" i="13" s="1"/>
  <c r="F13" i="13"/>
  <c r="C11" i="13"/>
  <c r="D11" i="13" s="1"/>
  <c r="F11" i="13"/>
  <c r="C9" i="13"/>
  <c r="D9" i="13" s="1"/>
  <c r="F9" i="13"/>
  <c r="C7" i="13"/>
  <c r="D7" i="13" s="1"/>
  <c r="F7" i="13"/>
  <c r="C21" i="13"/>
  <c r="D21" i="13" s="1"/>
  <c r="F21" i="13"/>
  <c r="C19" i="13"/>
  <c r="D19" i="13" s="1"/>
  <c r="F19" i="13"/>
  <c r="F26" i="13"/>
  <c r="C26" i="13"/>
  <c r="D26" i="13" s="1"/>
  <c r="F22" i="13"/>
  <c r="C22" i="13"/>
  <c r="D22" i="13" s="1"/>
  <c r="F20" i="13"/>
  <c r="C20" i="13"/>
  <c r="D20" i="13" s="1"/>
  <c r="F18" i="13"/>
  <c r="C18" i="13"/>
  <c r="D18" i="13" s="1"/>
  <c r="F14" i="13"/>
  <c r="C14" i="13"/>
  <c r="D14" i="13" s="1"/>
  <c r="F12" i="13"/>
  <c r="C12" i="13"/>
  <c r="D12" i="13" s="1"/>
  <c r="F10" i="13"/>
  <c r="C10" i="13"/>
  <c r="D10" i="13" s="1"/>
  <c r="F8" i="13"/>
  <c r="C8" i="13"/>
  <c r="D8" i="13" s="1"/>
  <c r="F24" i="13"/>
  <c r="C24" i="13"/>
  <c r="D24" i="13" s="1"/>
  <c r="F16" i="13"/>
  <c r="C16" i="13"/>
  <c r="D16" i="13" s="1"/>
  <c r="F6" i="13"/>
  <c r="C6" i="13"/>
  <c r="D6" i="13" s="1"/>
  <c r="F27" i="13"/>
  <c r="D27" i="13"/>
  <c r="F17" i="13"/>
  <c r="D17" i="13"/>
  <c r="F25" i="13"/>
  <c r="D25" i="13"/>
  <c r="F23" i="13"/>
  <c r="D23" i="13"/>
  <c r="F5" i="13"/>
  <c r="D5" i="13"/>
  <c r="D17" i="16" l="1"/>
  <c r="H17" i="16" s="1"/>
  <c r="D16" i="17"/>
  <c r="D25" i="17"/>
  <c r="H25" i="17" s="1"/>
  <c r="I25" i="17" s="1"/>
  <c r="G25" i="17"/>
  <c r="D12" i="17"/>
  <c r="H12" i="17" s="1"/>
  <c r="I12" i="17" s="1"/>
  <c r="G12" i="17"/>
  <c r="D23" i="17"/>
  <c r="H23" i="17" s="1"/>
  <c r="I23" i="17" s="1"/>
  <c r="G23" i="17"/>
  <c r="D21" i="17"/>
  <c r="D20" i="17"/>
  <c r="H20" i="17" s="1"/>
  <c r="I20" i="17" s="1"/>
  <c r="G20" i="17"/>
  <c r="D14" i="17"/>
  <c r="H14" i="17" s="1"/>
  <c r="I14" i="17" s="1"/>
  <c r="H21" i="17"/>
  <c r="I21" i="17" s="1"/>
  <c r="H16" i="17"/>
  <c r="I16" i="17" s="1"/>
  <c r="D5" i="17"/>
  <c r="H5" i="17" s="1"/>
  <c r="I5" i="17" s="1"/>
  <c r="D10" i="17"/>
  <c r="H10" i="17" s="1"/>
  <c r="I10" i="17" s="1"/>
  <c r="D9" i="17"/>
  <c r="H9" i="17" s="1"/>
  <c r="I9" i="17" s="1"/>
  <c r="F55" i="17"/>
  <c r="D36" i="16"/>
  <c r="H36" i="16" s="1"/>
  <c r="D54" i="16"/>
  <c r="D50" i="16"/>
  <c r="D38" i="16"/>
  <c r="D26" i="16"/>
  <c r="H26" i="16" s="1"/>
  <c r="D14" i="16"/>
  <c r="D12" i="16"/>
  <c r="H12" i="16" s="1"/>
  <c r="D22" i="16"/>
  <c r="D20" i="16"/>
  <c r="H20" i="16" s="1"/>
  <c r="D16" i="16"/>
  <c r="H16" i="16" s="1"/>
  <c r="D5" i="16"/>
  <c r="H5" i="16" s="1"/>
  <c r="H54" i="16"/>
  <c r="H50" i="16"/>
  <c r="H38" i="16"/>
  <c r="D46" i="16"/>
  <c r="H46" i="16" s="1"/>
  <c r="D42" i="16"/>
  <c r="H42" i="16" s="1"/>
  <c r="D34" i="16"/>
  <c r="H34" i="16" s="1"/>
  <c r="D30" i="16"/>
  <c r="H30" i="16" s="1"/>
  <c r="D52" i="16"/>
  <c r="H52" i="16" s="1"/>
  <c r="D48" i="16"/>
  <c r="H48" i="16" s="1"/>
  <c r="D44" i="16"/>
  <c r="H44" i="16" s="1"/>
  <c r="D40" i="16"/>
  <c r="H40" i="16" s="1"/>
  <c r="D32" i="16"/>
  <c r="H32" i="16" s="1"/>
  <c r="D28" i="16"/>
  <c r="H28" i="16" s="1"/>
  <c r="H22" i="16"/>
  <c r="D18" i="16"/>
  <c r="H18" i="16" s="1"/>
  <c r="H14" i="16"/>
  <c r="D24" i="16"/>
  <c r="H24" i="16" s="1"/>
  <c r="D10" i="16"/>
  <c r="H10" i="16" s="1"/>
  <c r="D9" i="16"/>
  <c r="H9" i="16" s="1"/>
  <c r="F55" i="16"/>
  <c r="F55" i="13"/>
  <c r="I55" i="17" l="1"/>
  <c r="H55" i="17"/>
  <c r="H55" i="16"/>
  <c r="S6" i="16"/>
  <c r="Q6" i="16"/>
  <c r="O6" i="16"/>
  <c r="M6" i="16"/>
  <c r="K6" i="16"/>
  <c r="T6" i="16"/>
  <c r="P6" i="16"/>
  <c r="L6" i="16"/>
  <c r="R6" i="16"/>
  <c r="N6" i="16"/>
  <c r="I6" i="13"/>
  <c r="J6" i="13"/>
  <c r="L6" i="13"/>
  <c r="N6" i="13"/>
  <c r="P6" i="13"/>
  <c r="R6" i="13"/>
  <c r="K6" i="13"/>
  <c r="M6" i="13"/>
  <c r="O6" i="13"/>
  <c r="Q6" i="13"/>
  <c r="K17" i="17" l="1"/>
  <c r="L17" i="17"/>
  <c r="N17" i="17"/>
  <c r="P17" i="17"/>
  <c r="R17" i="17"/>
  <c r="T17" i="17"/>
  <c r="M17" i="17"/>
  <c r="O17" i="17"/>
  <c r="Q17" i="17"/>
  <c r="S17" i="17"/>
  <c r="K6" i="17"/>
  <c r="L6" i="17"/>
  <c r="N6" i="17"/>
  <c r="P6" i="17"/>
  <c r="R6" i="17"/>
  <c r="T6" i="17"/>
  <c r="M6" i="17"/>
  <c r="O6" i="17"/>
  <c r="Q6" i="17"/>
  <c r="S6" i="17"/>
  <c r="K17" i="16"/>
  <c r="L17" i="16"/>
  <c r="N17" i="16"/>
  <c r="P17" i="16"/>
  <c r="R17" i="16"/>
  <c r="T17" i="16"/>
  <c r="M17" i="16"/>
  <c r="O17" i="16"/>
  <c r="Q17" i="16"/>
  <c r="S17" i="16"/>
  <c r="U6" i="16"/>
  <c r="S6" i="13"/>
  <c r="U6" i="17" l="1"/>
  <c r="U17" i="17"/>
  <c r="U17" i="16"/>
</calcChain>
</file>

<file path=xl/sharedStrings.xml><?xml version="1.0" encoding="utf-8"?>
<sst xmlns="http://schemas.openxmlformats.org/spreadsheetml/2006/main" count="71" uniqueCount="39">
  <si>
    <t>№ п/п</t>
  </si>
  <si>
    <t>ИГРА 1. Оценки решения методом имитационного моделирования</t>
  </si>
  <si>
    <t>У1</t>
  </si>
  <si>
    <t>У2</t>
  </si>
  <si>
    <t>У3</t>
  </si>
  <si>
    <t>СЛЧИС</t>
  </si>
  <si>
    <t>ВЫИГР</t>
  </si>
  <si>
    <t>№ исп.</t>
  </si>
  <si>
    <t>Выигр</t>
  </si>
  <si>
    <t>Значен.</t>
  </si>
  <si>
    <t>Оценка среднего</t>
  </si>
  <si>
    <t>ЧЕЛК!!!</t>
  </si>
  <si>
    <t>Таблица выигрышей из 10 испытаний в 50 играх</t>
  </si>
  <si>
    <t>Выбираем для Игрока первую строку. Тогда выигрыши считаем так:</t>
  </si>
  <si>
    <t>Здесь КАЗИНО УБИРАЕТ 2 или 3 столбец в которой нет выигрышного билета.</t>
  </si>
  <si>
    <t>2 шкат</t>
  </si>
  <si>
    <t>Выиг КАЗ</t>
  </si>
  <si>
    <t>Таблица выигрышей Игрока из 10 испытаний в 50 играх</t>
  </si>
  <si>
    <t>ИГРА 2-1. Оценки решения методом имитационного моделирования</t>
  </si>
  <si>
    <t>Описание.</t>
  </si>
  <si>
    <t>В столбце G указан номер шкатулки, которую Казино удаляет, в ней нет выигрышного билета.</t>
  </si>
  <si>
    <t>ИГРА 2-2. Оценки решения методом имитационного моделирования</t>
  </si>
  <si>
    <t>В столбце H указан выигрыш Казино. Если 0 то выигрывает Игрок.</t>
  </si>
  <si>
    <t>Таблица выигрышей Казино из 10 испытаний в 50 играх</t>
  </si>
  <si>
    <t>Выиг Игр</t>
  </si>
  <si>
    <t xml:space="preserve">        Таблица выигрышей Игрока из 10 испытаний в 50 играх</t>
  </si>
  <si>
    <t xml:space="preserve">  Оценка среднего</t>
  </si>
  <si>
    <t xml:space="preserve">     Таблица выигрышей Казино из 10 испытаний в 50 играх</t>
  </si>
  <si>
    <t>В столбце G указан номер шкатулки, которую Казино оставляет, в ней может быть выигрышный билет или нет выигрышного билета.</t>
  </si>
  <si>
    <t>Итоговые оценки выигрышей Игром а каждой из 3 игр:</t>
  </si>
  <si>
    <t>ИГРА-1</t>
  </si>
  <si>
    <t>ИГРА-2-1</t>
  </si>
  <si>
    <t>ИГРА-2-2</t>
  </si>
  <si>
    <t>ИТОГОВОЕ ЗАКЛЮЧЕНИЕ КАЖДОГО МАГИСТРАНТА.</t>
  </si>
  <si>
    <t>НА Листе ИГРА-2-2</t>
  </si>
  <si>
    <t>(Заполнить  значения в этой таблице, строка 7, данные в строке 6)</t>
  </si>
  <si>
    <t>Здесь КАЗИНО ОСТАВЛЯЕТ  2 или 3 столбец в которой может быть выигрышный билет или нет выигрышного билета.</t>
  </si>
  <si>
    <t>Выбираем для Игрока  в ИГРЕ 2-2 шкатулку, которую оствило КАЗИНО. Тогда выигрыши считаем в столбце H:</t>
  </si>
  <si>
    <t>Рассмотрены 3 варианта выбора решений ИГРОКОМ и КАЗИНО. По результатам  500 испытаний получены оценки средних выигрышей Игрока. Сравнительный анализ выигрышей показывает, что для игрока выгоднее ИГРА-2-2, в остальных играх статистически игрок будет проигрывать.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</si>
</sst>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6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0" xfId="0" applyFill="1"/>
    <xf numFmtId="0" fontId="0" fillId="3" borderId="0" xfId="0" applyFill="1"/>
    <xf numFmtId="0" fontId="3" fillId="2" borderId="0" xfId="0" applyFont="1" applyFill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64" fontId="0" fillId="2" borderId="0" xfId="0" applyNumberForma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10</xdr:col>
      <xdr:colOff>449581</xdr:colOff>
      <xdr:row>3</xdr:row>
      <xdr:rowOff>53509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8E49493-8BCA-42AD-B214-283FEF0DA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6545580" cy="602149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</xdr:row>
      <xdr:rowOff>1</xdr:rowOff>
    </xdr:from>
    <xdr:to>
      <xdr:col>7</xdr:col>
      <xdr:colOff>488975</xdr:colOff>
      <xdr:row>32</xdr:row>
      <xdr:rowOff>68581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5964BD02-91E5-4237-98C7-7BC9450C5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731521"/>
          <a:ext cx="4756174" cy="518922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15</xdr:col>
      <xdr:colOff>342900</xdr:colOff>
      <xdr:row>16</xdr:row>
      <xdr:rowOff>149483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7E83ECB-C8D9-46A4-BB5C-6396513F5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731520"/>
          <a:ext cx="4000500" cy="2344043"/>
        </a:xfrm>
        <a:prstGeom prst="rect">
          <a:avLst/>
        </a:prstGeom>
      </xdr:spPr>
    </xdr:pic>
    <xdr:clientData/>
  </xdr:twoCellAnchor>
  <xdr:twoCellAnchor editAs="oneCell">
    <xdr:from>
      <xdr:col>8</xdr:col>
      <xdr:colOff>609599</xdr:colOff>
      <xdr:row>17</xdr:row>
      <xdr:rowOff>0</xdr:rowOff>
    </xdr:from>
    <xdr:to>
      <xdr:col>15</xdr:col>
      <xdr:colOff>535118</xdr:colOff>
      <xdr:row>34</xdr:row>
      <xdr:rowOff>91439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B15741DC-C5A8-4918-9999-9ACB005A8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399" y="3108960"/>
          <a:ext cx="4192719" cy="32003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2EB69-2824-43B6-9EF0-F16E6D44A1F3}">
  <dimension ref="B34:H34"/>
  <sheetViews>
    <sheetView zoomScale="145" zoomScaleNormal="145" workbookViewId="0">
      <selection activeCell="F46" sqref="F46"/>
    </sheetView>
  </sheetViews>
  <sheetFormatPr defaultRowHeight="15" x14ac:dyDescent="0.25"/>
  <sheetData>
    <row r="34" spans="2:8" x14ac:dyDescent="0.25">
      <c r="B34" s="2" t="str">
        <f>'ИГРА-2-2'!K21</f>
        <v>ИТОГОВОЕ ЗАКЛЮЧЕНИЕ КАЖДОГО МАГИСТРАНТА.</v>
      </c>
      <c r="C34" s="2"/>
      <c r="D34" s="2"/>
      <c r="E34" s="2"/>
      <c r="F34" s="2"/>
      <c r="G34" s="2" t="s">
        <v>34</v>
      </c>
      <c r="H34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074CC-032C-42B7-A971-0977666D4030}">
  <dimension ref="A1:S61"/>
  <sheetViews>
    <sheetView workbookViewId="0">
      <selection activeCell="J8" sqref="J8"/>
    </sheetView>
  </sheetViews>
  <sheetFormatPr defaultRowHeight="15" x14ac:dyDescent="0.25"/>
  <sheetData>
    <row r="1" spans="1:19" ht="20.25" x14ac:dyDescent="0.3">
      <c r="B1" s="4" t="s">
        <v>1</v>
      </c>
      <c r="C1" s="2"/>
      <c r="D1" s="2"/>
      <c r="E1" s="2"/>
      <c r="F1" s="2"/>
      <c r="G1" s="2"/>
      <c r="H1" s="2"/>
      <c r="I1" s="2"/>
      <c r="J1" s="2"/>
      <c r="K1" s="2"/>
      <c r="L1" t="s">
        <v>11</v>
      </c>
    </row>
    <row r="3" spans="1:19" x14ac:dyDescent="0.25">
      <c r="B3" t="s">
        <v>13</v>
      </c>
    </row>
    <row r="4" spans="1:19" x14ac:dyDescent="0.25">
      <c r="A4" t="s">
        <v>0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H4" t="s">
        <v>12</v>
      </c>
      <c r="M4" t="s">
        <v>35</v>
      </c>
    </row>
    <row r="5" spans="1:19" x14ac:dyDescent="0.25">
      <c r="A5" s="5">
        <v>1</v>
      </c>
      <c r="B5" s="5">
        <f ca="1">IF(E5&lt;0.333333,1,0)</f>
        <v>1</v>
      </c>
      <c r="C5" s="5">
        <f ca="1">IF(B5=1,0,IF(E5&lt;0.666667,1,0))</f>
        <v>0</v>
      </c>
      <c r="D5" s="5">
        <f ca="1">IF(B5=1,0,IF(C5=1,0,1))</f>
        <v>0</v>
      </c>
      <c r="E5" s="6">
        <f ca="1">RAND()</f>
        <v>7.9833396217415031E-2</v>
      </c>
      <c r="F5" s="5">
        <f ca="1">IF(B5=1,1,0)</f>
        <v>1</v>
      </c>
      <c r="G5" s="5"/>
      <c r="H5" s="1" t="s">
        <v>7</v>
      </c>
      <c r="I5" s="8">
        <v>1</v>
      </c>
      <c r="J5" s="8">
        <v>2</v>
      </c>
      <c r="K5" s="8">
        <v>3</v>
      </c>
      <c r="L5" s="8">
        <v>4</v>
      </c>
      <c r="M5" s="8">
        <v>5</v>
      </c>
      <c r="N5" s="8">
        <v>6</v>
      </c>
      <c r="O5" s="8">
        <v>7</v>
      </c>
      <c r="P5" s="8">
        <v>8</v>
      </c>
      <c r="Q5" s="8">
        <v>9</v>
      </c>
      <c r="R5" s="8">
        <v>10</v>
      </c>
    </row>
    <row r="6" spans="1:19" x14ac:dyDescent="0.25">
      <c r="A6" s="5">
        <v>2</v>
      </c>
      <c r="B6" s="5">
        <f t="shared" ref="B6:B27" ca="1" si="0">IF(E6&lt;0.333333,1,0)</f>
        <v>1</v>
      </c>
      <c r="C6" s="5">
        <f t="shared" ref="C6:C27" ca="1" si="1">IF(B6=1,0,IF(E6&lt;0.666667,1,0))</f>
        <v>0</v>
      </c>
      <c r="D6" s="5">
        <f t="shared" ref="D6:D27" ca="1" si="2">IF(B6=1,0,IF(C6=1,0,1))</f>
        <v>0</v>
      </c>
      <c r="E6" s="6">
        <f t="shared" ref="E6:E54" ca="1" si="3">RAND()</f>
        <v>9.6291957422488972E-2</v>
      </c>
      <c r="F6" s="5">
        <f t="shared" ref="F6:F27" ca="1" si="4">IF(B6=1,1,0)</f>
        <v>1</v>
      </c>
      <c r="G6" s="5"/>
      <c r="H6" s="1" t="s">
        <v>8</v>
      </c>
      <c r="I6" s="8">
        <f ca="1">$F$55</f>
        <v>18</v>
      </c>
      <c r="J6" s="8">
        <f t="shared" ref="J6:R6" ca="1" si="5">$F$55</f>
        <v>18</v>
      </c>
      <c r="K6" s="8">
        <f t="shared" ca="1" si="5"/>
        <v>18</v>
      </c>
      <c r="L6" s="8">
        <f t="shared" ca="1" si="5"/>
        <v>18</v>
      </c>
      <c r="M6" s="8">
        <f t="shared" ca="1" si="5"/>
        <v>18</v>
      </c>
      <c r="N6" s="8">
        <f t="shared" ca="1" si="5"/>
        <v>18</v>
      </c>
      <c r="O6" s="8">
        <f t="shared" ca="1" si="5"/>
        <v>18</v>
      </c>
      <c r="P6" s="8">
        <f t="shared" ca="1" si="5"/>
        <v>18</v>
      </c>
      <c r="Q6" s="8">
        <f t="shared" ca="1" si="5"/>
        <v>18</v>
      </c>
      <c r="R6" s="8">
        <f t="shared" ca="1" si="5"/>
        <v>18</v>
      </c>
      <c r="S6" s="9">
        <f ca="1">SUM(I6:R6)</f>
        <v>180</v>
      </c>
    </row>
    <row r="7" spans="1:19" x14ac:dyDescent="0.25">
      <c r="A7" s="5">
        <v>3</v>
      </c>
      <c r="B7" s="5">
        <f t="shared" ca="1" si="0"/>
        <v>0</v>
      </c>
      <c r="C7" s="5">
        <f t="shared" ca="1" si="1"/>
        <v>1</v>
      </c>
      <c r="D7" s="5">
        <f t="shared" ca="1" si="2"/>
        <v>0</v>
      </c>
      <c r="E7" s="6">
        <f t="shared" ca="1" si="3"/>
        <v>0.41900612311946306</v>
      </c>
      <c r="F7" s="5">
        <f t="shared" ca="1" si="4"/>
        <v>0</v>
      </c>
      <c r="G7" s="5"/>
      <c r="H7" s="1" t="s">
        <v>9</v>
      </c>
      <c r="I7" s="11">
        <v>14</v>
      </c>
      <c r="J7" s="11">
        <v>17</v>
      </c>
      <c r="K7" s="11">
        <v>19</v>
      </c>
      <c r="L7" s="11">
        <v>15</v>
      </c>
      <c r="M7" s="11">
        <v>17</v>
      </c>
      <c r="N7" s="11">
        <v>16</v>
      </c>
      <c r="O7" s="11">
        <v>17</v>
      </c>
      <c r="P7" s="11">
        <v>16</v>
      </c>
      <c r="Q7" s="11">
        <v>17</v>
      </c>
      <c r="R7" s="11">
        <v>18</v>
      </c>
      <c r="S7" s="9">
        <f>SUM(I7:R7)</f>
        <v>166</v>
      </c>
    </row>
    <row r="8" spans="1:19" x14ac:dyDescent="0.25">
      <c r="A8" s="5">
        <v>4</v>
      </c>
      <c r="B8" s="5">
        <f t="shared" ca="1" si="0"/>
        <v>0</v>
      </c>
      <c r="C8" s="5">
        <f t="shared" ca="1" si="1"/>
        <v>0</v>
      </c>
      <c r="D8" s="5">
        <f t="shared" ca="1" si="2"/>
        <v>1</v>
      </c>
      <c r="E8" s="6">
        <f t="shared" ca="1" si="3"/>
        <v>0.89529092163261081</v>
      </c>
      <c r="F8" s="5">
        <f t="shared" ca="1" si="4"/>
        <v>0</v>
      </c>
      <c r="G8" s="5"/>
    </row>
    <row r="9" spans="1:19" x14ac:dyDescent="0.25">
      <c r="A9" s="5">
        <v>5</v>
      </c>
      <c r="B9" s="5">
        <f t="shared" ca="1" si="0"/>
        <v>0</v>
      </c>
      <c r="C9" s="5">
        <f t="shared" ca="1" si="1"/>
        <v>1</v>
      </c>
      <c r="D9" s="5">
        <f t="shared" ca="1" si="2"/>
        <v>0</v>
      </c>
      <c r="E9" s="6">
        <f t="shared" ca="1" si="3"/>
        <v>0.58320399549462365</v>
      </c>
      <c r="F9" s="5">
        <f t="shared" ca="1" si="4"/>
        <v>0</v>
      </c>
      <c r="G9" s="5"/>
      <c r="H9" t="s">
        <v>10</v>
      </c>
      <c r="J9" s="10">
        <f>S7/(50*10)</f>
        <v>0.33200000000000002</v>
      </c>
    </row>
    <row r="10" spans="1:19" x14ac:dyDescent="0.25">
      <c r="A10" s="5">
        <v>6</v>
      </c>
      <c r="B10" s="5">
        <f t="shared" ca="1" si="0"/>
        <v>0</v>
      </c>
      <c r="C10" s="5">
        <f t="shared" ca="1" si="1"/>
        <v>0</v>
      </c>
      <c r="D10" s="5">
        <f t="shared" ca="1" si="2"/>
        <v>1</v>
      </c>
      <c r="E10" s="6">
        <f t="shared" ca="1" si="3"/>
        <v>0.77113238714105015</v>
      </c>
      <c r="F10" s="5">
        <f t="shared" ca="1" si="4"/>
        <v>0</v>
      </c>
      <c r="G10" s="5"/>
    </row>
    <row r="11" spans="1:19" x14ac:dyDescent="0.25">
      <c r="A11" s="5">
        <v>7</v>
      </c>
      <c r="B11" s="5">
        <f t="shared" ca="1" si="0"/>
        <v>1</v>
      </c>
      <c r="C11" s="5">
        <f t="shared" ca="1" si="1"/>
        <v>0</v>
      </c>
      <c r="D11" s="5">
        <f t="shared" ca="1" si="2"/>
        <v>0</v>
      </c>
      <c r="E11" s="6">
        <f t="shared" ca="1" si="3"/>
        <v>0.21119503534529649</v>
      </c>
      <c r="F11" s="5">
        <f t="shared" ca="1" si="4"/>
        <v>1</v>
      </c>
      <c r="G11" s="5"/>
    </row>
    <row r="12" spans="1:19" x14ac:dyDescent="0.25">
      <c r="A12" s="5">
        <v>8</v>
      </c>
      <c r="B12" s="5">
        <f t="shared" ca="1" si="0"/>
        <v>0</v>
      </c>
      <c r="C12" s="5">
        <f t="shared" ca="1" si="1"/>
        <v>1</v>
      </c>
      <c r="D12" s="5">
        <f t="shared" ca="1" si="2"/>
        <v>0</v>
      </c>
      <c r="E12" s="6">
        <f t="shared" ca="1" si="3"/>
        <v>0.57883392288378899</v>
      </c>
      <c r="F12" s="5">
        <f t="shared" ca="1" si="4"/>
        <v>0</v>
      </c>
      <c r="G12" s="5"/>
    </row>
    <row r="13" spans="1:19" x14ac:dyDescent="0.25">
      <c r="A13" s="5">
        <v>9</v>
      </c>
      <c r="B13" s="5">
        <f t="shared" ca="1" si="0"/>
        <v>0</v>
      </c>
      <c r="C13" s="5">
        <f t="shared" ca="1" si="1"/>
        <v>0</v>
      </c>
      <c r="D13" s="5">
        <f t="shared" ca="1" si="2"/>
        <v>1</v>
      </c>
      <c r="E13" s="6">
        <f t="shared" ca="1" si="3"/>
        <v>0.6986986076546432</v>
      </c>
      <c r="F13" s="5">
        <f t="shared" ca="1" si="4"/>
        <v>0</v>
      </c>
      <c r="G13" s="5"/>
    </row>
    <row r="14" spans="1:19" x14ac:dyDescent="0.25">
      <c r="A14" s="5">
        <v>10</v>
      </c>
      <c r="B14" s="5">
        <f t="shared" ca="1" si="0"/>
        <v>0</v>
      </c>
      <c r="C14" s="5">
        <f t="shared" ca="1" si="1"/>
        <v>1</v>
      </c>
      <c r="D14" s="5">
        <f t="shared" ca="1" si="2"/>
        <v>0</v>
      </c>
      <c r="E14" s="6">
        <f t="shared" ca="1" si="3"/>
        <v>0.39490846291109449</v>
      </c>
      <c r="F14" s="5">
        <f t="shared" ca="1" si="4"/>
        <v>0</v>
      </c>
      <c r="G14" s="5"/>
    </row>
    <row r="15" spans="1:19" x14ac:dyDescent="0.25">
      <c r="A15" s="5">
        <v>11</v>
      </c>
      <c r="B15" s="5">
        <f t="shared" ca="1" si="0"/>
        <v>1</v>
      </c>
      <c r="C15" s="5">
        <f t="shared" ca="1" si="1"/>
        <v>0</v>
      </c>
      <c r="D15" s="5">
        <f t="shared" ca="1" si="2"/>
        <v>0</v>
      </c>
      <c r="E15" s="6">
        <f t="shared" ca="1" si="3"/>
        <v>0.17271076156510834</v>
      </c>
      <c r="F15" s="5">
        <f t="shared" ca="1" si="4"/>
        <v>1</v>
      </c>
      <c r="G15" s="5"/>
    </row>
    <row r="16" spans="1:19" x14ac:dyDescent="0.25">
      <c r="A16" s="5">
        <v>12</v>
      </c>
      <c r="B16" s="5">
        <f t="shared" ca="1" si="0"/>
        <v>0</v>
      </c>
      <c r="C16" s="5">
        <f t="shared" ca="1" si="1"/>
        <v>0</v>
      </c>
      <c r="D16" s="5">
        <f t="shared" ca="1" si="2"/>
        <v>1</v>
      </c>
      <c r="E16" s="6">
        <f t="shared" ca="1" si="3"/>
        <v>0.85809877250244926</v>
      </c>
      <c r="F16" s="5">
        <f t="shared" ca="1" si="4"/>
        <v>0</v>
      </c>
      <c r="G16" s="5"/>
    </row>
    <row r="17" spans="1:7" x14ac:dyDescent="0.25">
      <c r="A17" s="5">
        <v>13</v>
      </c>
      <c r="B17" s="5">
        <f t="shared" ca="1" si="0"/>
        <v>1</v>
      </c>
      <c r="C17" s="5">
        <f t="shared" ca="1" si="1"/>
        <v>0</v>
      </c>
      <c r="D17" s="5">
        <f t="shared" ca="1" si="2"/>
        <v>0</v>
      </c>
      <c r="E17" s="6">
        <f t="shared" ca="1" si="3"/>
        <v>5.9357869728306034E-2</v>
      </c>
      <c r="F17" s="5">
        <f t="shared" ca="1" si="4"/>
        <v>1</v>
      </c>
      <c r="G17" s="5"/>
    </row>
    <row r="18" spans="1:7" x14ac:dyDescent="0.25">
      <c r="A18" s="5">
        <v>14</v>
      </c>
      <c r="B18" s="5">
        <f t="shared" ca="1" si="0"/>
        <v>1</v>
      </c>
      <c r="C18" s="5">
        <f t="shared" ca="1" si="1"/>
        <v>0</v>
      </c>
      <c r="D18" s="5">
        <f t="shared" ca="1" si="2"/>
        <v>0</v>
      </c>
      <c r="E18" s="6">
        <f t="shared" ca="1" si="3"/>
        <v>0.18950456402479443</v>
      </c>
      <c r="F18" s="5">
        <f t="shared" ca="1" si="4"/>
        <v>1</v>
      </c>
      <c r="G18" s="5"/>
    </row>
    <row r="19" spans="1:7" x14ac:dyDescent="0.25">
      <c r="A19" s="5">
        <v>15</v>
      </c>
      <c r="B19" s="5">
        <f t="shared" ca="1" si="0"/>
        <v>0</v>
      </c>
      <c r="C19" s="5">
        <f t="shared" ca="1" si="1"/>
        <v>0</v>
      </c>
      <c r="D19" s="5">
        <f t="shared" ca="1" si="2"/>
        <v>1</v>
      </c>
      <c r="E19" s="6">
        <f t="shared" ca="1" si="3"/>
        <v>0.77445873469615045</v>
      </c>
      <c r="F19" s="5">
        <f t="shared" ca="1" si="4"/>
        <v>0</v>
      </c>
      <c r="G19" s="5"/>
    </row>
    <row r="20" spans="1:7" x14ac:dyDescent="0.25">
      <c r="A20" s="5">
        <v>16</v>
      </c>
      <c r="B20" s="5">
        <f t="shared" ca="1" si="0"/>
        <v>1</v>
      </c>
      <c r="C20" s="5">
        <f t="shared" ca="1" si="1"/>
        <v>0</v>
      </c>
      <c r="D20" s="5">
        <f t="shared" ca="1" si="2"/>
        <v>0</v>
      </c>
      <c r="E20" s="6">
        <f t="shared" ca="1" si="3"/>
        <v>0.28597473812095897</v>
      </c>
      <c r="F20" s="5">
        <f t="shared" ca="1" si="4"/>
        <v>1</v>
      </c>
      <c r="G20" s="5"/>
    </row>
    <row r="21" spans="1:7" x14ac:dyDescent="0.25">
      <c r="A21" s="5">
        <v>17</v>
      </c>
      <c r="B21" s="5">
        <f t="shared" ca="1" si="0"/>
        <v>1</v>
      </c>
      <c r="C21" s="5">
        <f t="shared" ca="1" si="1"/>
        <v>0</v>
      </c>
      <c r="D21" s="5">
        <f t="shared" ca="1" si="2"/>
        <v>0</v>
      </c>
      <c r="E21" s="6">
        <f t="shared" ca="1" si="3"/>
        <v>8.7934831606604091E-2</v>
      </c>
      <c r="F21" s="5">
        <f t="shared" ca="1" si="4"/>
        <v>1</v>
      </c>
      <c r="G21" s="5"/>
    </row>
    <row r="22" spans="1:7" x14ac:dyDescent="0.25">
      <c r="A22" s="5">
        <v>18</v>
      </c>
      <c r="B22" s="5">
        <f t="shared" ca="1" si="0"/>
        <v>1</v>
      </c>
      <c r="C22" s="5">
        <f t="shared" ca="1" si="1"/>
        <v>0</v>
      </c>
      <c r="D22" s="5">
        <f t="shared" ca="1" si="2"/>
        <v>0</v>
      </c>
      <c r="E22" s="6">
        <f t="shared" ca="1" si="3"/>
        <v>0.18541656331546652</v>
      </c>
      <c r="F22" s="5">
        <f t="shared" ca="1" si="4"/>
        <v>1</v>
      </c>
      <c r="G22" s="5"/>
    </row>
    <row r="23" spans="1:7" x14ac:dyDescent="0.25">
      <c r="A23" s="5">
        <v>19</v>
      </c>
      <c r="B23" s="5">
        <f t="shared" ca="1" si="0"/>
        <v>1</v>
      </c>
      <c r="C23" s="5">
        <f t="shared" ca="1" si="1"/>
        <v>0</v>
      </c>
      <c r="D23" s="5">
        <f t="shared" ca="1" si="2"/>
        <v>0</v>
      </c>
      <c r="E23" s="6">
        <f t="shared" ca="1" si="3"/>
        <v>3.2449195752045967E-2</v>
      </c>
      <c r="F23" s="5">
        <f t="shared" ca="1" si="4"/>
        <v>1</v>
      </c>
      <c r="G23" s="5"/>
    </row>
    <row r="24" spans="1:7" x14ac:dyDescent="0.25">
      <c r="A24" s="5">
        <v>20</v>
      </c>
      <c r="B24" s="5">
        <f t="shared" ca="1" si="0"/>
        <v>1</v>
      </c>
      <c r="C24" s="5">
        <f t="shared" ca="1" si="1"/>
        <v>0</v>
      </c>
      <c r="D24" s="5">
        <f t="shared" ca="1" si="2"/>
        <v>0</v>
      </c>
      <c r="E24" s="6">
        <f t="shared" ca="1" si="3"/>
        <v>0.17651983241913904</v>
      </c>
      <c r="F24" s="5">
        <f t="shared" ca="1" si="4"/>
        <v>1</v>
      </c>
      <c r="G24" s="5"/>
    </row>
    <row r="25" spans="1:7" x14ac:dyDescent="0.25">
      <c r="A25" s="5">
        <v>21</v>
      </c>
      <c r="B25" s="5">
        <f t="shared" ca="1" si="0"/>
        <v>0</v>
      </c>
      <c r="C25" s="5">
        <f t="shared" ca="1" si="1"/>
        <v>1</v>
      </c>
      <c r="D25" s="5">
        <f t="shared" ca="1" si="2"/>
        <v>0</v>
      </c>
      <c r="E25" s="6">
        <f t="shared" ca="1" si="3"/>
        <v>0.58993286370542364</v>
      </c>
      <c r="F25" s="5">
        <f t="shared" ca="1" si="4"/>
        <v>0</v>
      </c>
      <c r="G25" s="5"/>
    </row>
    <row r="26" spans="1:7" x14ac:dyDescent="0.25">
      <c r="A26" s="5">
        <v>22</v>
      </c>
      <c r="B26" s="5">
        <f t="shared" ca="1" si="0"/>
        <v>0</v>
      </c>
      <c r="C26" s="5">
        <f t="shared" ca="1" si="1"/>
        <v>0</v>
      </c>
      <c r="D26" s="5">
        <f t="shared" ca="1" si="2"/>
        <v>1</v>
      </c>
      <c r="E26" s="6">
        <f t="shared" ca="1" si="3"/>
        <v>0.78619012736086502</v>
      </c>
      <c r="F26" s="5">
        <f t="shared" ca="1" si="4"/>
        <v>0</v>
      </c>
      <c r="G26" s="5"/>
    </row>
    <row r="27" spans="1:7" x14ac:dyDescent="0.25">
      <c r="A27" s="5">
        <v>23</v>
      </c>
      <c r="B27" s="5">
        <f t="shared" ca="1" si="0"/>
        <v>1</v>
      </c>
      <c r="C27" s="5">
        <f t="shared" ca="1" si="1"/>
        <v>0</v>
      </c>
      <c r="D27" s="5">
        <f t="shared" ca="1" si="2"/>
        <v>0</v>
      </c>
      <c r="E27" s="6">
        <f t="shared" ca="1" si="3"/>
        <v>0.14972922750265927</v>
      </c>
      <c r="F27" s="5">
        <f t="shared" ca="1" si="4"/>
        <v>1</v>
      </c>
      <c r="G27" s="5"/>
    </row>
    <row r="28" spans="1:7" x14ac:dyDescent="0.25">
      <c r="A28" s="5">
        <v>24</v>
      </c>
      <c r="B28" s="5">
        <f t="shared" ref="B28:B48" ca="1" si="6">IF(E28&lt;0.333333,1,0)</f>
        <v>0</v>
      </c>
      <c r="C28" s="5">
        <f t="shared" ref="C28:C48" ca="1" si="7">IF(B28=1,0,IF(E28&lt;0.666667,1,0))</f>
        <v>1</v>
      </c>
      <c r="D28" s="5">
        <f t="shared" ref="D28:D48" ca="1" si="8">IF(B28=1,0,IF(C28=1,0,1))</f>
        <v>0</v>
      </c>
      <c r="E28" s="6">
        <f t="shared" ca="1" si="3"/>
        <v>0.62134372135982263</v>
      </c>
      <c r="F28" s="5">
        <f t="shared" ref="F28:F48" ca="1" si="9">IF(B28=1,1,0)</f>
        <v>0</v>
      </c>
      <c r="G28" s="5"/>
    </row>
    <row r="29" spans="1:7" x14ac:dyDescent="0.25">
      <c r="A29" s="5">
        <v>25</v>
      </c>
      <c r="B29" s="5">
        <f t="shared" ca="1" si="6"/>
        <v>0</v>
      </c>
      <c r="C29" s="5">
        <f t="shared" ca="1" si="7"/>
        <v>0</v>
      </c>
      <c r="D29" s="5">
        <f t="shared" ca="1" si="8"/>
        <v>1</v>
      </c>
      <c r="E29" s="6">
        <f t="shared" ca="1" si="3"/>
        <v>0.93175277534594381</v>
      </c>
      <c r="F29" s="5">
        <f t="shared" ca="1" si="9"/>
        <v>0</v>
      </c>
    </row>
    <row r="30" spans="1:7" x14ac:dyDescent="0.25">
      <c r="A30" s="5">
        <v>26</v>
      </c>
      <c r="B30" s="5">
        <f t="shared" ca="1" si="6"/>
        <v>0</v>
      </c>
      <c r="C30" s="5">
        <f t="shared" ca="1" si="7"/>
        <v>1</v>
      </c>
      <c r="D30" s="5">
        <f t="shared" ca="1" si="8"/>
        <v>0</v>
      </c>
      <c r="E30" s="6">
        <f t="shared" ca="1" si="3"/>
        <v>0.48498598909324409</v>
      </c>
      <c r="F30" s="5">
        <f t="shared" ca="1" si="9"/>
        <v>0</v>
      </c>
    </row>
    <row r="31" spans="1:7" x14ac:dyDescent="0.25">
      <c r="A31" s="5">
        <v>27</v>
      </c>
      <c r="B31" s="5">
        <f t="shared" ca="1" si="6"/>
        <v>1</v>
      </c>
      <c r="C31" s="5">
        <f t="shared" ca="1" si="7"/>
        <v>0</v>
      </c>
      <c r="D31" s="5">
        <f t="shared" ca="1" si="8"/>
        <v>0</v>
      </c>
      <c r="E31" s="6">
        <f t="shared" ca="1" si="3"/>
        <v>0.16790202029232548</v>
      </c>
      <c r="F31" s="5">
        <f t="shared" ca="1" si="9"/>
        <v>1</v>
      </c>
    </row>
    <row r="32" spans="1:7" x14ac:dyDescent="0.25">
      <c r="A32" s="5">
        <v>28</v>
      </c>
      <c r="B32" s="5">
        <f t="shared" ca="1" si="6"/>
        <v>0</v>
      </c>
      <c r="C32" s="5">
        <f t="shared" ca="1" si="7"/>
        <v>1</v>
      </c>
      <c r="D32" s="5">
        <f t="shared" ca="1" si="8"/>
        <v>0</v>
      </c>
      <c r="E32" s="6">
        <f t="shared" ca="1" si="3"/>
        <v>0.6320054254757006</v>
      </c>
      <c r="F32" s="5">
        <f t="shared" ca="1" si="9"/>
        <v>0</v>
      </c>
    </row>
    <row r="33" spans="1:6" x14ac:dyDescent="0.25">
      <c r="A33" s="5">
        <v>29</v>
      </c>
      <c r="B33" s="5">
        <f t="shared" ca="1" si="6"/>
        <v>0</v>
      </c>
      <c r="C33" s="5">
        <f t="shared" ca="1" si="7"/>
        <v>0</v>
      </c>
      <c r="D33" s="5">
        <f t="shared" ca="1" si="8"/>
        <v>1</v>
      </c>
      <c r="E33" s="6">
        <f t="shared" ca="1" si="3"/>
        <v>0.71453073696857572</v>
      </c>
      <c r="F33" s="5">
        <f t="shared" ca="1" si="9"/>
        <v>0</v>
      </c>
    </row>
    <row r="34" spans="1:6" x14ac:dyDescent="0.25">
      <c r="A34" s="5">
        <v>30</v>
      </c>
      <c r="B34" s="5">
        <f t="shared" ca="1" si="6"/>
        <v>0</v>
      </c>
      <c r="C34" s="5">
        <f t="shared" ca="1" si="7"/>
        <v>0</v>
      </c>
      <c r="D34" s="5">
        <f t="shared" ca="1" si="8"/>
        <v>1</v>
      </c>
      <c r="E34" s="6">
        <f t="shared" ca="1" si="3"/>
        <v>0.76928114027161365</v>
      </c>
      <c r="F34" s="5">
        <f t="shared" ca="1" si="9"/>
        <v>0</v>
      </c>
    </row>
    <row r="35" spans="1:6" x14ac:dyDescent="0.25">
      <c r="A35" s="5">
        <v>31</v>
      </c>
      <c r="B35" s="5">
        <f t="shared" ca="1" si="6"/>
        <v>0</v>
      </c>
      <c r="C35" s="5">
        <f t="shared" ca="1" si="7"/>
        <v>0</v>
      </c>
      <c r="D35" s="5">
        <f t="shared" ca="1" si="8"/>
        <v>1</v>
      </c>
      <c r="E35" s="6">
        <f t="shared" ca="1" si="3"/>
        <v>0.69624944394438459</v>
      </c>
      <c r="F35" s="5">
        <f t="shared" ca="1" si="9"/>
        <v>0</v>
      </c>
    </row>
    <row r="36" spans="1:6" x14ac:dyDescent="0.25">
      <c r="A36" s="5">
        <v>32</v>
      </c>
      <c r="B36" s="5">
        <f t="shared" ca="1" si="6"/>
        <v>0</v>
      </c>
      <c r="C36" s="5">
        <f t="shared" ca="1" si="7"/>
        <v>0</v>
      </c>
      <c r="D36" s="5">
        <f t="shared" ca="1" si="8"/>
        <v>1</v>
      </c>
      <c r="E36" s="6">
        <f t="shared" ca="1" si="3"/>
        <v>0.95011570256642774</v>
      </c>
      <c r="F36" s="5">
        <f t="shared" ca="1" si="9"/>
        <v>0</v>
      </c>
    </row>
    <row r="37" spans="1:6" x14ac:dyDescent="0.25">
      <c r="A37" s="5">
        <v>33</v>
      </c>
      <c r="B37" s="5">
        <f t="shared" ca="1" si="6"/>
        <v>0</v>
      </c>
      <c r="C37" s="5">
        <f t="shared" ca="1" si="7"/>
        <v>1</v>
      </c>
      <c r="D37" s="5">
        <f t="shared" ca="1" si="8"/>
        <v>0</v>
      </c>
      <c r="E37" s="6">
        <f t="shared" ca="1" si="3"/>
        <v>0.38088476737131416</v>
      </c>
      <c r="F37" s="5">
        <f t="shared" ca="1" si="9"/>
        <v>0</v>
      </c>
    </row>
    <row r="38" spans="1:6" x14ac:dyDescent="0.25">
      <c r="A38" s="5">
        <v>34</v>
      </c>
      <c r="B38" s="5">
        <f t="shared" ca="1" si="6"/>
        <v>0</v>
      </c>
      <c r="C38" s="5">
        <f t="shared" ca="1" si="7"/>
        <v>1</v>
      </c>
      <c r="D38" s="5">
        <f t="shared" ca="1" si="8"/>
        <v>0</v>
      </c>
      <c r="E38" s="6">
        <f t="shared" ca="1" si="3"/>
        <v>0.43435091448924834</v>
      </c>
      <c r="F38" s="5">
        <f t="shared" ca="1" si="9"/>
        <v>0</v>
      </c>
    </row>
    <row r="39" spans="1:6" x14ac:dyDescent="0.25">
      <c r="A39" s="5">
        <v>35</v>
      </c>
      <c r="B39" s="5">
        <f t="shared" ca="1" si="6"/>
        <v>1</v>
      </c>
      <c r="C39" s="5">
        <f t="shared" ca="1" si="7"/>
        <v>0</v>
      </c>
      <c r="D39" s="5">
        <f t="shared" ca="1" si="8"/>
        <v>0</v>
      </c>
      <c r="E39" s="6">
        <f t="shared" ca="1" si="3"/>
        <v>0.18561751673245397</v>
      </c>
      <c r="F39" s="5">
        <f t="shared" ca="1" si="9"/>
        <v>1</v>
      </c>
    </row>
    <row r="40" spans="1:6" x14ac:dyDescent="0.25">
      <c r="A40" s="5">
        <v>36</v>
      </c>
      <c r="B40" s="5">
        <f t="shared" ca="1" si="6"/>
        <v>0</v>
      </c>
      <c r="C40" s="5">
        <f t="shared" ca="1" si="7"/>
        <v>1</v>
      </c>
      <c r="D40" s="5">
        <f t="shared" ca="1" si="8"/>
        <v>0</v>
      </c>
      <c r="E40" s="6">
        <f t="shared" ca="1" si="3"/>
        <v>0.41895700211510845</v>
      </c>
      <c r="F40" s="5">
        <f t="shared" ca="1" si="9"/>
        <v>0</v>
      </c>
    </row>
    <row r="41" spans="1:6" x14ac:dyDescent="0.25">
      <c r="A41" s="5">
        <v>37</v>
      </c>
      <c r="B41" s="5">
        <f t="shared" ca="1" si="6"/>
        <v>1</v>
      </c>
      <c r="C41" s="5">
        <f t="shared" ca="1" si="7"/>
        <v>0</v>
      </c>
      <c r="D41" s="5">
        <f t="shared" ca="1" si="8"/>
        <v>0</v>
      </c>
      <c r="E41" s="6">
        <f t="shared" ca="1" si="3"/>
        <v>0.23514454299407939</v>
      </c>
      <c r="F41" s="5">
        <f t="shared" ca="1" si="9"/>
        <v>1</v>
      </c>
    </row>
    <row r="42" spans="1:6" x14ac:dyDescent="0.25">
      <c r="A42" s="5">
        <v>38</v>
      </c>
      <c r="B42" s="5">
        <f t="shared" ca="1" si="6"/>
        <v>1</v>
      </c>
      <c r="C42" s="5">
        <f t="shared" ca="1" si="7"/>
        <v>0</v>
      </c>
      <c r="D42" s="5">
        <f t="shared" ca="1" si="8"/>
        <v>0</v>
      </c>
      <c r="E42" s="6">
        <f t="shared" ca="1" si="3"/>
        <v>7.3607928239011744E-2</v>
      </c>
      <c r="F42" s="5">
        <f t="shared" ca="1" si="9"/>
        <v>1</v>
      </c>
    </row>
    <row r="43" spans="1:6" x14ac:dyDescent="0.25">
      <c r="A43" s="5">
        <v>39</v>
      </c>
      <c r="B43" s="5">
        <f t="shared" ca="1" si="6"/>
        <v>0</v>
      </c>
      <c r="C43" s="5">
        <f t="shared" ca="1" si="7"/>
        <v>1</v>
      </c>
      <c r="D43" s="5">
        <f t="shared" ca="1" si="8"/>
        <v>0</v>
      </c>
      <c r="E43" s="6">
        <f t="shared" ca="1" si="3"/>
        <v>0.57428264713828792</v>
      </c>
      <c r="F43" s="5">
        <f t="shared" ca="1" si="9"/>
        <v>0</v>
      </c>
    </row>
    <row r="44" spans="1:6" x14ac:dyDescent="0.25">
      <c r="A44" s="5">
        <v>40</v>
      </c>
      <c r="B44" s="5">
        <f t="shared" ca="1" si="6"/>
        <v>0</v>
      </c>
      <c r="C44" s="5">
        <f t="shared" ca="1" si="7"/>
        <v>0</v>
      </c>
      <c r="D44" s="5">
        <f t="shared" ca="1" si="8"/>
        <v>1</v>
      </c>
      <c r="E44" s="6">
        <f t="shared" ca="1" si="3"/>
        <v>0.85796666258414001</v>
      </c>
      <c r="F44" s="5">
        <f t="shared" ca="1" si="9"/>
        <v>0</v>
      </c>
    </row>
    <row r="45" spans="1:6" x14ac:dyDescent="0.25">
      <c r="A45" s="5">
        <v>41</v>
      </c>
      <c r="B45" s="5">
        <f t="shared" ca="1" si="6"/>
        <v>0</v>
      </c>
      <c r="C45" s="5">
        <f t="shared" ca="1" si="7"/>
        <v>1</v>
      </c>
      <c r="D45" s="5">
        <f t="shared" ca="1" si="8"/>
        <v>0</v>
      </c>
      <c r="E45" s="6">
        <f t="shared" ca="1" si="3"/>
        <v>0.50186396485142293</v>
      </c>
      <c r="F45" s="5">
        <f t="shared" ca="1" si="9"/>
        <v>0</v>
      </c>
    </row>
    <row r="46" spans="1:6" x14ac:dyDescent="0.25">
      <c r="A46" s="5">
        <v>42</v>
      </c>
      <c r="B46" s="5">
        <f t="shared" ca="1" si="6"/>
        <v>0</v>
      </c>
      <c r="C46" s="5">
        <f t="shared" ca="1" si="7"/>
        <v>0</v>
      </c>
      <c r="D46" s="5">
        <f t="shared" ca="1" si="8"/>
        <v>1</v>
      </c>
      <c r="E46" s="6">
        <f t="shared" ca="1" si="3"/>
        <v>0.90932565341658689</v>
      </c>
      <c r="F46" s="5">
        <f t="shared" ca="1" si="9"/>
        <v>0</v>
      </c>
    </row>
    <row r="47" spans="1:6" x14ac:dyDescent="0.25">
      <c r="A47" s="5">
        <v>43</v>
      </c>
      <c r="B47" s="5">
        <f t="shared" ca="1" si="6"/>
        <v>0</v>
      </c>
      <c r="C47" s="5">
        <f t="shared" ca="1" si="7"/>
        <v>1</v>
      </c>
      <c r="D47" s="5">
        <f t="shared" ca="1" si="8"/>
        <v>0</v>
      </c>
      <c r="E47" s="6">
        <f t="shared" ca="1" si="3"/>
        <v>0.36771930545423703</v>
      </c>
      <c r="F47" s="5">
        <f t="shared" ca="1" si="9"/>
        <v>0</v>
      </c>
    </row>
    <row r="48" spans="1:6" x14ac:dyDescent="0.25">
      <c r="A48" s="5">
        <v>44</v>
      </c>
      <c r="B48" s="5">
        <f t="shared" ca="1" si="6"/>
        <v>1</v>
      </c>
      <c r="C48" s="5">
        <f t="shared" ca="1" si="7"/>
        <v>0</v>
      </c>
      <c r="D48" s="5">
        <f t="shared" ca="1" si="8"/>
        <v>0</v>
      </c>
      <c r="E48" s="6">
        <f t="shared" ca="1" si="3"/>
        <v>9.5676294443915788E-2</v>
      </c>
      <c r="F48" s="5">
        <f t="shared" ca="1" si="9"/>
        <v>1</v>
      </c>
    </row>
    <row r="49" spans="1:6" x14ac:dyDescent="0.25">
      <c r="A49" s="5">
        <v>45</v>
      </c>
      <c r="B49" s="5">
        <f t="shared" ref="B49:B54" ca="1" si="10">IF(E49&lt;0.333333,1,0)</f>
        <v>0</v>
      </c>
      <c r="C49" s="5">
        <f t="shared" ref="C49:C54" ca="1" si="11">IF(B49=1,0,IF(E49&lt;0.666667,1,0))</f>
        <v>0</v>
      </c>
      <c r="D49" s="5">
        <f t="shared" ref="D49:D54" ca="1" si="12">IF(B49=1,0,IF(C49=1,0,1))</f>
        <v>1</v>
      </c>
      <c r="E49" s="6">
        <f t="shared" ca="1" si="3"/>
        <v>0.82104308160036399</v>
      </c>
      <c r="F49" s="5">
        <f t="shared" ref="F49:F54" ca="1" si="13">IF(B49=1,1,0)</f>
        <v>0</v>
      </c>
    </row>
    <row r="50" spans="1:6" x14ac:dyDescent="0.25">
      <c r="A50" s="5">
        <v>46</v>
      </c>
      <c r="B50" s="5">
        <f t="shared" ca="1" si="10"/>
        <v>0</v>
      </c>
      <c r="C50" s="5">
        <f t="shared" ca="1" si="11"/>
        <v>1</v>
      </c>
      <c r="D50" s="5">
        <f t="shared" ca="1" si="12"/>
        <v>0</v>
      </c>
      <c r="E50" s="6">
        <f t="shared" ca="1" si="3"/>
        <v>0.44911809501457778</v>
      </c>
      <c r="F50" s="5">
        <f t="shared" ca="1" si="13"/>
        <v>0</v>
      </c>
    </row>
    <row r="51" spans="1:6" x14ac:dyDescent="0.25">
      <c r="A51" s="5">
        <v>47</v>
      </c>
      <c r="B51" s="5">
        <f t="shared" ca="1" si="10"/>
        <v>0</v>
      </c>
      <c r="C51" s="5">
        <f t="shared" ca="1" si="11"/>
        <v>1</v>
      </c>
      <c r="D51" s="5">
        <f t="shared" ca="1" si="12"/>
        <v>0</v>
      </c>
      <c r="E51" s="6">
        <f t="shared" ca="1" si="3"/>
        <v>0.58474167805199995</v>
      </c>
      <c r="F51" s="5">
        <f t="shared" ca="1" si="13"/>
        <v>0</v>
      </c>
    </row>
    <row r="52" spans="1:6" x14ac:dyDescent="0.25">
      <c r="A52" s="5">
        <v>48</v>
      </c>
      <c r="B52" s="5">
        <f t="shared" ca="1" si="10"/>
        <v>0</v>
      </c>
      <c r="C52" s="5">
        <f t="shared" ca="1" si="11"/>
        <v>0</v>
      </c>
      <c r="D52" s="5">
        <f t="shared" ca="1" si="12"/>
        <v>1</v>
      </c>
      <c r="E52" s="6">
        <f t="shared" ca="1" si="3"/>
        <v>0.70098007337362689</v>
      </c>
      <c r="F52" s="5">
        <f t="shared" ca="1" si="13"/>
        <v>0</v>
      </c>
    </row>
    <row r="53" spans="1:6" x14ac:dyDescent="0.25">
      <c r="A53" s="5">
        <v>49</v>
      </c>
      <c r="B53" s="5">
        <f t="shared" ca="1" si="10"/>
        <v>1</v>
      </c>
      <c r="C53" s="5">
        <f t="shared" ca="1" si="11"/>
        <v>0</v>
      </c>
      <c r="D53" s="5">
        <f t="shared" ca="1" si="12"/>
        <v>0</v>
      </c>
      <c r="E53" s="6">
        <f t="shared" ca="1" si="3"/>
        <v>0.23385474630820002</v>
      </c>
      <c r="F53" s="5">
        <f t="shared" ca="1" si="13"/>
        <v>1</v>
      </c>
    </row>
    <row r="54" spans="1:6" x14ac:dyDescent="0.25">
      <c r="A54" s="5">
        <v>50</v>
      </c>
      <c r="B54" s="5">
        <f t="shared" ca="1" si="10"/>
        <v>0</v>
      </c>
      <c r="C54" s="5">
        <f t="shared" ca="1" si="11"/>
        <v>1</v>
      </c>
      <c r="D54" s="5">
        <f t="shared" ca="1" si="12"/>
        <v>0</v>
      </c>
      <c r="E54" s="6">
        <f t="shared" ca="1" si="3"/>
        <v>0.65591461731071288</v>
      </c>
      <c r="F54" s="5">
        <f t="shared" ca="1" si="13"/>
        <v>0</v>
      </c>
    </row>
    <row r="55" spans="1:6" x14ac:dyDescent="0.25">
      <c r="A55" s="5"/>
      <c r="F55" s="7">
        <f ca="1">SUM(F5:F54)</f>
        <v>18</v>
      </c>
    </row>
    <row r="56" spans="1:6" x14ac:dyDescent="0.25">
      <c r="A56" s="5"/>
    </row>
    <row r="57" spans="1:6" x14ac:dyDescent="0.25">
      <c r="A57" s="5"/>
    </row>
    <row r="58" spans="1:6" x14ac:dyDescent="0.25">
      <c r="A58" s="5"/>
    </row>
    <row r="59" spans="1:6" x14ac:dyDescent="0.25">
      <c r="A59" s="5"/>
    </row>
    <row r="60" spans="1:6" x14ac:dyDescent="0.25">
      <c r="A60" s="5"/>
    </row>
    <row r="61" spans="1:6" x14ac:dyDescent="0.25">
      <c r="A61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3FAD1-5FED-4FF5-BF05-90B63025FF4A}">
  <dimension ref="A1:U61"/>
  <sheetViews>
    <sheetView zoomScaleNormal="100" workbookViewId="0">
      <selection activeCell="R19" sqref="R19"/>
    </sheetView>
  </sheetViews>
  <sheetFormatPr defaultRowHeight="15" x14ac:dyDescent="0.25"/>
  <cols>
    <col min="6" max="6" width="10.28515625" customWidth="1"/>
  </cols>
  <sheetData>
    <row r="1" spans="1:21" ht="20.25" x14ac:dyDescent="0.3">
      <c r="B1" s="4" t="s">
        <v>18</v>
      </c>
      <c r="C1" s="2"/>
      <c r="D1" s="2"/>
      <c r="E1" s="2"/>
      <c r="F1" s="2"/>
      <c r="G1" s="2"/>
      <c r="H1" s="2"/>
      <c r="I1" s="2"/>
      <c r="J1" s="2"/>
      <c r="K1" s="2"/>
    </row>
    <row r="2" spans="1:21" ht="30" customHeight="1" x14ac:dyDescent="0.3">
      <c r="B2" s="12" t="s">
        <v>14</v>
      </c>
      <c r="C2" s="3"/>
      <c r="D2" s="3"/>
      <c r="E2" s="3"/>
      <c r="F2" s="3"/>
      <c r="G2" s="3"/>
      <c r="H2" s="3"/>
      <c r="I2" s="3"/>
      <c r="J2" s="3"/>
      <c r="K2" s="3"/>
    </row>
    <row r="3" spans="1:21" x14ac:dyDescent="0.25">
      <c r="B3" t="s">
        <v>13</v>
      </c>
    </row>
    <row r="4" spans="1:21" x14ac:dyDescent="0.25">
      <c r="A4" t="s">
        <v>0</v>
      </c>
      <c r="B4" t="s">
        <v>2</v>
      </c>
      <c r="C4" t="s">
        <v>3</v>
      </c>
      <c r="D4" t="s">
        <v>4</v>
      </c>
      <c r="E4" t="s">
        <v>5</v>
      </c>
      <c r="F4" t="s">
        <v>24</v>
      </c>
      <c r="G4" t="s">
        <v>15</v>
      </c>
      <c r="H4" t="s">
        <v>16</v>
      </c>
      <c r="J4" t="s">
        <v>17</v>
      </c>
    </row>
    <row r="5" spans="1:21" x14ac:dyDescent="0.25">
      <c r="A5" s="5">
        <v>1</v>
      </c>
      <c r="B5" s="5">
        <f ca="1">IF(E5&lt;0.333333,1,0)</f>
        <v>0</v>
      </c>
      <c r="C5" s="5">
        <f ca="1">IF(B5=1,0,IF(E5&lt;0.666667,1,0))</f>
        <v>0</v>
      </c>
      <c r="D5" s="5">
        <f ca="1">IF(B5=1,0,IF(C5=1,0,1))</f>
        <v>1</v>
      </c>
      <c r="E5" s="6">
        <f ca="1">RAND()</f>
        <v>0.83020140234567052</v>
      </c>
      <c r="F5" s="13">
        <f ca="1">IF(B5=1,1,0)</f>
        <v>0</v>
      </c>
      <c r="G5" s="5">
        <f ca="1">IF(C5=0,2,3)</f>
        <v>2</v>
      </c>
      <c r="H5" s="5">
        <f ca="1">C5+D5</f>
        <v>1</v>
      </c>
      <c r="I5" s="5"/>
      <c r="J5" s="1" t="s">
        <v>7</v>
      </c>
      <c r="K5" s="8">
        <v>1</v>
      </c>
      <c r="L5" s="8">
        <v>2</v>
      </c>
      <c r="M5" s="8">
        <v>3</v>
      </c>
      <c r="N5" s="8">
        <v>4</v>
      </c>
      <c r="O5" s="8">
        <v>5</v>
      </c>
      <c r="P5" s="8">
        <v>6</v>
      </c>
      <c r="Q5" s="8">
        <v>7</v>
      </c>
      <c r="R5" s="8">
        <v>8</v>
      </c>
      <c r="S5" s="8">
        <v>9</v>
      </c>
      <c r="T5" s="8">
        <v>10</v>
      </c>
    </row>
    <row r="6" spans="1:21" x14ac:dyDescent="0.25">
      <c r="A6" s="5">
        <v>2</v>
      </c>
      <c r="B6" s="5">
        <f t="shared" ref="B6:B54" ca="1" si="0">IF(E6&lt;0.333333,1,0)</f>
        <v>1</v>
      </c>
      <c r="C6" s="5">
        <f t="shared" ref="C6:C54" ca="1" si="1">IF(B6=1,0,IF(E6&lt;0.666667,1,0))</f>
        <v>0</v>
      </c>
      <c r="D6" s="5">
        <f t="shared" ref="D6:D54" ca="1" si="2">IF(B6=1,0,IF(C6=1,0,1))</f>
        <v>0</v>
      </c>
      <c r="E6" s="6">
        <f t="shared" ref="E6:E54" ca="1" si="3">RAND()</f>
        <v>0.30190364583770468</v>
      </c>
      <c r="F6" s="13">
        <f t="shared" ref="F6:F54" ca="1" si="4">IF(B6=1,1,0)</f>
        <v>1</v>
      </c>
      <c r="G6" s="5">
        <f t="shared" ref="G6:G54" ca="1" si="5">IF(C6=0,2,3)</f>
        <v>2</v>
      </c>
      <c r="H6" s="5">
        <f t="shared" ref="H6:H54" ca="1" si="6">C6+D6</f>
        <v>0</v>
      </c>
      <c r="I6" s="5"/>
      <c r="J6" s="1" t="s">
        <v>8</v>
      </c>
      <c r="K6" s="8">
        <f ca="1">$F$55</f>
        <v>17</v>
      </c>
      <c r="L6" s="8">
        <f t="shared" ref="L6:T6" ca="1" si="7">$F$55</f>
        <v>17</v>
      </c>
      <c r="M6" s="8">
        <f t="shared" ca="1" si="7"/>
        <v>17</v>
      </c>
      <c r="N6" s="8">
        <f t="shared" ca="1" si="7"/>
        <v>17</v>
      </c>
      <c r="O6" s="8">
        <f t="shared" ca="1" si="7"/>
        <v>17</v>
      </c>
      <c r="P6" s="8">
        <f t="shared" ca="1" si="7"/>
        <v>17</v>
      </c>
      <c r="Q6" s="8">
        <f t="shared" ca="1" si="7"/>
        <v>17</v>
      </c>
      <c r="R6" s="8">
        <f t="shared" ca="1" si="7"/>
        <v>17</v>
      </c>
      <c r="S6" s="8">
        <f t="shared" ca="1" si="7"/>
        <v>17</v>
      </c>
      <c r="T6" s="8">
        <f t="shared" ca="1" si="7"/>
        <v>17</v>
      </c>
      <c r="U6" s="9">
        <f ca="1">SUM(K6:T6)</f>
        <v>170</v>
      </c>
    </row>
    <row r="7" spans="1:21" x14ac:dyDescent="0.25">
      <c r="A7" s="5">
        <v>3</v>
      </c>
      <c r="B7" s="5">
        <f t="shared" ca="1" si="0"/>
        <v>0</v>
      </c>
      <c r="C7" s="5">
        <f t="shared" ca="1" si="1"/>
        <v>0</v>
      </c>
      <c r="D7" s="5">
        <f t="shared" ca="1" si="2"/>
        <v>1</v>
      </c>
      <c r="E7" s="6">
        <f t="shared" ca="1" si="3"/>
        <v>0.80135045963124396</v>
      </c>
      <c r="F7" s="13">
        <f t="shared" ca="1" si="4"/>
        <v>0</v>
      </c>
      <c r="G7" s="5">
        <f t="shared" ca="1" si="5"/>
        <v>2</v>
      </c>
      <c r="H7" s="5">
        <f t="shared" ca="1" si="6"/>
        <v>1</v>
      </c>
      <c r="I7" s="5"/>
      <c r="J7" s="1" t="s">
        <v>9</v>
      </c>
      <c r="K7" s="11">
        <v>15</v>
      </c>
      <c r="L7" s="11">
        <v>12</v>
      </c>
      <c r="M7" s="11">
        <v>16</v>
      </c>
      <c r="N7" s="11">
        <v>14</v>
      </c>
      <c r="O7" s="11">
        <v>17</v>
      </c>
      <c r="P7" s="11">
        <v>12</v>
      </c>
      <c r="Q7" s="11">
        <v>23</v>
      </c>
      <c r="R7" s="11">
        <v>15</v>
      </c>
      <c r="S7" s="11">
        <v>22</v>
      </c>
      <c r="T7" s="11">
        <v>20</v>
      </c>
      <c r="U7" s="9">
        <f>SUM(K7:T7)</f>
        <v>166</v>
      </c>
    </row>
    <row r="8" spans="1:21" x14ac:dyDescent="0.25">
      <c r="A8" s="5">
        <v>4</v>
      </c>
      <c r="B8" s="5">
        <f t="shared" ca="1" si="0"/>
        <v>0</v>
      </c>
      <c r="C8" s="5">
        <f t="shared" ca="1" si="1"/>
        <v>1</v>
      </c>
      <c r="D8" s="5">
        <f t="shared" ca="1" si="2"/>
        <v>0</v>
      </c>
      <c r="E8" s="6">
        <f t="shared" ca="1" si="3"/>
        <v>0.50802255985946576</v>
      </c>
      <c r="F8" s="13">
        <f t="shared" ca="1" si="4"/>
        <v>0</v>
      </c>
      <c r="G8" s="5">
        <f t="shared" ca="1" si="5"/>
        <v>3</v>
      </c>
      <c r="H8" s="5">
        <f t="shared" ca="1" si="6"/>
        <v>1</v>
      </c>
      <c r="I8" s="5"/>
    </row>
    <row r="9" spans="1:21" x14ac:dyDescent="0.25">
      <c r="A9" s="5">
        <v>5</v>
      </c>
      <c r="B9" s="5">
        <f t="shared" ca="1" si="0"/>
        <v>1</v>
      </c>
      <c r="C9" s="5">
        <f t="shared" ca="1" si="1"/>
        <v>0</v>
      </c>
      <c r="D9" s="5">
        <f t="shared" ca="1" si="2"/>
        <v>0</v>
      </c>
      <c r="E9" s="6">
        <f t="shared" ca="1" si="3"/>
        <v>0.29906804929337427</v>
      </c>
      <c r="F9" s="13">
        <f t="shared" ca="1" si="4"/>
        <v>1</v>
      </c>
      <c r="G9" s="5">
        <f t="shared" ca="1" si="5"/>
        <v>2</v>
      </c>
      <c r="H9" s="5">
        <f t="shared" ca="1" si="6"/>
        <v>0</v>
      </c>
      <c r="I9" s="5"/>
      <c r="J9" t="s">
        <v>10</v>
      </c>
      <c r="L9" s="10">
        <f>U7/(50*10)</f>
        <v>0.33200000000000002</v>
      </c>
    </row>
    <row r="10" spans="1:21" x14ac:dyDescent="0.25">
      <c r="A10" s="5">
        <v>6</v>
      </c>
      <c r="B10" s="5">
        <f t="shared" ca="1" si="0"/>
        <v>0</v>
      </c>
      <c r="C10" s="5">
        <f t="shared" ca="1" si="1"/>
        <v>0</v>
      </c>
      <c r="D10" s="5">
        <f t="shared" ca="1" si="2"/>
        <v>1</v>
      </c>
      <c r="E10" s="6">
        <f t="shared" ca="1" si="3"/>
        <v>0.89019513571333564</v>
      </c>
      <c r="F10" s="13">
        <f t="shared" ca="1" si="4"/>
        <v>0</v>
      </c>
      <c r="G10" s="5">
        <f t="shared" ca="1" si="5"/>
        <v>2</v>
      </c>
      <c r="H10" s="5">
        <f t="shared" ca="1" si="6"/>
        <v>1</v>
      </c>
      <c r="I10" s="5"/>
    </row>
    <row r="11" spans="1:21" x14ac:dyDescent="0.25">
      <c r="A11" s="5">
        <v>7</v>
      </c>
      <c r="B11" s="5">
        <f t="shared" ca="1" si="0"/>
        <v>0</v>
      </c>
      <c r="C11" s="5">
        <f t="shared" ca="1" si="1"/>
        <v>0</v>
      </c>
      <c r="D11" s="5">
        <f t="shared" ca="1" si="2"/>
        <v>1</v>
      </c>
      <c r="E11" s="6">
        <f t="shared" ca="1" si="3"/>
        <v>0.99084232774484415</v>
      </c>
      <c r="F11" s="13">
        <f t="shared" ca="1" si="4"/>
        <v>0</v>
      </c>
      <c r="G11" s="5">
        <f t="shared" ca="1" si="5"/>
        <v>2</v>
      </c>
      <c r="H11" s="5">
        <f t="shared" ca="1" si="6"/>
        <v>1</v>
      </c>
      <c r="I11" s="5"/>
      <c r="J11" t="s">
        <v>19</v>
      </c>
    </row>
    <row r="12" spans="1:21" x14ac:dyDescent="0.25">
      <c r="A12" s="5">
        <v>8</v>
      </c>
      <c r="B12" s="5">
        <f t="shared" ca="1" si="0"/>
        <v>0</v>
      </c>
      <c r="C12" s="5">
        <f t="shared" ca="1" si="1"/>
        <v>0</v>
      </c>
      <c r="D12" s="5">
        <f t="shared" ca="1" si="2"/>
        <v>1</v>
      </c>
      <c r="E12" s="6">
        <f t="shared" ca="1" si="3"/>
        <v>0.83706416761887426</v>
      </c>
      <c r="F12" s="13">
        <f t="shared" ca="1" si="4"/>
        <v>0</v>
      </c>
      <c r="G12" s="5">
        <f t="shared" ca="1" si="5"/>
        <v>2</v>
      </c>
      <c r="H12" s="5">
        <f t="shared" ca="1" si="6"/>
        <v>1</v>
      </c>
      <c r="I12" s="5"/>
      <c r="J12" t="s">
        <v>20</v>
      </c>
    </row>
    <row r="13" spans="1:21" x14ac:dyDescent="0.25">
      <c r="A13" s="5">
        <v>9</v>
      </c>
      <c r="B13" s="5">
        <f t="shared" ca="1" si="0"/>
        <v>0</v>
      </c>
      <c r="C13" s="5">
        <f t="shared" ca="1" si="1"/>
        <v>1</v>
      </c>
      <c r="D13" s="5">
        <f t="shared" ca="1" si="2"/>
        <v>0</v>
      </c>
      <c r="E13" s="6">
        <f t="shared" ca="1" si="3"/>
        <v>0.39626947745486729</v>
      </c>
      <c r="F13" s="13">
        <f t="shared" ca="1" si="4"/>
        <v>0</v>
      </c>
      <c r="G13" s="5">
        <f t="shared" ca="1" si="5"/>
        <v>3</v>
      </c>
      <c r="H13" s="5">
        <f t="shared" ca="1" si="6"/>
        <v>1</v>
      </c>
      <c r="I13" s="5"/>
      <c r="J13" t="s">
        <v>22</v>
      </c>
    </row>
    <row r="14" spans="1:21" x14ac:dyDescent="0.25">
      <c r="A14" s="5">
        <v>10</v>
      </c>
      <c r="B14" s="5">
        <f t="shared" ca="1" si="0"/>
        <v>1</v>
      </c>
      <c r="C14" s="5">
        <f t="shared" ca="1" si="1"/>
        <v>0</v>
      </c>
      <c r="D14" s="5">
        <f t="shared" ca="1" si="2"/>
        <v>0</v>
      </c>
      <c r="E14" s="6">
        <f t="shared" ca="1" si="3"/>
        <v>8.2848591533817406E-2</v>
      </c>
      <c r="F14" s="13">
        <f t="shared" ca="1" si="4"/>
        <v>1</v>
      </c>
      <c r="G14" s="5">
        <f t="shared" ca="1" si="5"/>
        <v>2</v>
      </c>
      <c r="H14" s="5">
        <f t="shared" ca="1" si="6"/>
        <v>0</v>
      </c>
      <c r="I14" s="5"/>
    </row>
    <row r="15" spans="1:21" x14ac:dyDescent="0.25">
      <c r="A15" s="5">
        <v>11</v>
      </c>
      <c r="B15" s="5">
        <f t="shared" ca="1" si="0"/>
        <v>1</v>
      </c>
      <c r="C15" s="5">
        <f t="shared" ca="1" si="1"/>
        <v>0</v>
      </c>
      <c r="D15" s="5">
        <f t="shared" ca="1" si="2"/>
        <v>0</v>
      </c>
      <c r="E15" s="6">
        <f t="shared" ca="1" si="3"/>
        <v>6.5313893662427569E-3</v>
      </c>
      <c r="F15" s="13">
        <f t="shared" ca="1" si="4"/>
        <v>1</v>
      </c>
      <c r="G15" s="5">
        <f t="shared" ca="1" si="5"/>
        <v>2</v>
      </c>
      <c r="H15" s="5">
        <f t="shared" ca="1" si="6"/>
        <v>0</v>
      </c>
      <c r="I15" s="5"/>
      <c r="J15" t="s">
        <v>23</v>
      </c>
    </row>
    <row r="16" spans="1:21" x14ac:dyDescent="0.25">
      <c r="A16" s="5">
        <v>12</v>
      </c>
      <c r="B16" s="5">
        <f t="shared" ca="1" si="0"/>
        <v>0</v>
      </c>
      <c r="C16" s="5">
        <f t="shared" ca="1" si="1"/>
        <v>0</v>
      </c>
      <c r="D16" s="5">
        <f t="shared" ca="1" si="2"/>
        <v>1</v>
      </c>
      <c r="E16" s="6">
        <f t="shared" ca="1" si="3"/>
        <v>0.86236656846160487</v>
      </c>
      <c r="F16" s="13">
        <f t="shared" ca="1" si="4"/>
        <v>0</v>
      </c>
      <c r="G16" s="5">
        <f t="shared" ca="1" si="5"/>
        <v>2</v>
      </c>
      <c r="H16" s="5">
        <f t="shared" ca="1" si="6"/>
        <v>1</v>
      </c>
      <c r="I16" s="5"/>
      <c r="J16" s="1" t="s">
        <v>7</v>
      </c>
      <c r="K16" s="8">
        <v>1</v>
      </c>
      <c r="L16" s="8">
        <v>2</v>
      </c>
      <c r="M16" s="8">
        <v>3</v>
      </c>
      <c r="N16" s="8">
        <v>4</v>
      </c>
      <c r="O16" s="8">
        <v>5</v>
      </c>
      <c r="P16" s="8">
        <v>6</v>
      </c>
      <c r="Q16" s="8">
        <v>7</v>
      </c>
      <c r="R16" s="8">
        <v>8</v>
      </c>
      <c r="S16" s="8">
        <v>9</v>
      </c>
      <c r="T16" s="8">
        <v>10</v>
      </c>
    </row>
    <row r="17" spans="1:21" x14ac:dyDescent="0.25">
      <c r="A17" s="5">
        <v>13</v>
      </c>
      <c r="B17" s="5">
        <f t="shared" ca="1" si="0"/>
        <v>0</v>
      </c>
      <c r="C17" s="5">
        <f t="shared" ca="1" si="1"/>
        <v>1</v>
      </c>
      <c r="D17" s="5">
        <f t="shared" ca="1" si="2"/>
        <v>0</v>
      </c>
      <c r="E17" s="6">
        <f t="shared" ca="1" si="3"/>
        <v>0.51675626141790598</v>
      </c>
      <c r="F17" s="13">
        <f t="shared" ca="1" si="4"/>
        <v>0</v>
      </c>
      <c r="G17" s="5">
        <f t="shared" ca="1" si="5"/>
        <v>3</v>
      </c>
      <c r="H17" s="5">
        <f t="shared" ca="1" si="6"/>
        <v>1</v>
      </c>
      <c r="I17" s="5"/>
      <c r="J17" s="1" t="s">
        <v>8</v>
      </c>
      <c r="K17" s="8">
        <f ca="1">$H$55</f>
        <v>33</v>
      </c>
      <c r="L17" s="8">
        <f t="shared" ref="L17:T17" ca="1" si="8">$H$55</f>
        <v>33</v>
      </c>
      <c r="M17" s="8">
        <f t="shared" ca="1" si="8"/>
        <v>33</v>
      </c>
      <c r="N17" s="8">
        <f t="shared" ca="1" si="8"/>
        <v>33</v>
      </c>
      <c r="O17" s="8">
        <f t="shared" ca="1" si="8"/>
        <v>33</v>
      </c>
      <c r="P17" s="8">
        <f t="shared" ca="1" si="8"/>
        <v>33</v>
      </c>
      <c r="Q17" s="8">
        <f t="shared" ca="1" si="8"/>
        <v>33</v>
      </c>
      <c r="R17" s="8">
        <f t="shared" ca="1" si="8"/>
        <v>33</v>
      </c>
      <c r="S17" s="8">
        <f t="shared" ca="1" si="8"/>
        <v>33</v>
      </c>
      <c r="T17" s="8">
        <f t="shared" ca="1" si="8"/>
        <v>33</v>
      </c>
      <c r="U17" s="9">
        <f ca="1">SUM(K17:T17)</f>
        <v>330</v>
      </c>
    </row>
    <row r="18" spans="1:21" x14ac:dyDescent="0.25">
      <c r="A18" s="5">
        <v>14</v>
      </c>
      <c r="B18" s="5">
        <f t="shared" ca="1" si="0"/>
        <v>1</v>
      </c>
      <c r="C18" s="5">
        <f t="shared" ca="1" si="1"/>
        <v>0</v>
      </c>
      <c r="D18" s="5">
        <f t="shared" ca="1" si="2"/>
        <v>0</v>
      </c>
      <c r="E18" s="6">
        <f t="shared" ca="1" si="3"/>
        <v>9.6177211246867178E-2</v>
      </c>
      <c r="F18" s="13">
        <f t="shared" ca="1" si="4"/>
        <v>1</v>
      </c>
      <c r="G18" s="5">
        <f t="shared" ca="1" si="5"/>
        <v>2</v>
      </c>
      <c r="H18" s="5">
        <f t="shared" ca="1" si="6"/>
        <v>0</v>
      </c>
      <c r="I18" s="5"/>
      <c r="J18" s="1" t="s">
        <v>9</v>
      </c>
      <c r="K18" s="11">
        <v>32</v>
      </c>
      <c r="L18" s="11">
        <v>34</v>
      </c>
      <c r="M18" s="11">
        <v>31</v>
      </c>
      <c r="N18" s="11">
        <v>31</v>
      </c>
      <c r="O18" s="11">
        <v>32</v>
      </c>
      <c r="P18" s="11">
        <v>37</v>
      </c>
      <c r="Q18" s="11">
        <v>32</v>
      </c>
      <c r="R18" s="11">
        <v>31</v>
      </c>
      <c r="S18" s="11">
        <v>27</v>
      </c>
      <c r="T18" s="11">
        <v>31</v>
      </c>
      <c r="U18" s="9">
        <f>SUM(K18:T18)</f>
        <v>318</v>
      </c>
    </row>
    <row r="19" spans="1:21" x14ac:dyDescent="0.25">
      <c r="A19" s="5">
        <v>15</v>
      </c>
      <c r="B19" s="5">
        <f t="shared" ca="1" si="0"/>
        <v>0</v>
      </c>
      <c r="C19" s="5">
        <f t="shared" ca="1" si="1"/>
        <v>1</v>
      </c>
      <c r="D19" s="5">
        <f t="shared" ca="1" si="2"/>
        <v>0</v>
      </c>
      <c r="E19" s="6">
        <f t="shared" ca="1" si="3"/>
        <v>0.50264502826425117</v>
      </c>
      <c r="F19" s="13">
        <f t="shared" ca="1" si="4"/>
        <v>0</v>
      </c>
      <c r="G19" s="5">
        <f t="shared" ca="1" si="5"/>
        <v>3</v>
      </c>
      <c r="H19" s="5">
        <f t="shared" ca="1" si="6"/>
        <v>1</v>
      </c>
      <c r="I19" s="5"/>
    </row>
    <row r="20" spans="1:21" x14ac:dyDescent="0.25">
      <c r="A20" s="5">
        <v>16</v>
      </c>
      <c r="B20" s="5">
        <f t="shared" ca="1" si="0"/>
        <v>1</v>
      </c>
      <c r="C20" s="5">
        <f t="shared" ca="1" si="1"/>
        <v>0</v>
      </c>
      <c r="D20" s="5">
        <f t="shared" ca="1" si="2"/>
        <v>0</v>
      </c>
      <c r="E20" s="6">
        <f t="shared" ca="1" si="3"/>
        <v>5.9848983436608161E-2</v>
      </c>
      <c r="F20" s="13">
        <f t="shared" ca="1" si="4"/>
        <v>1</v>
      </c>
      <c r="G20" s="5">
        <f t="shared" ca="1" si="5"/>
        <v>2</v>
      </c>
      <c r="H20" s="5">
        <f t="shared" ca="1" si="6"/>
        <v>0</v>
      </c>
      <c r="I20" s="5"/>
      <c r="J20" t="s">
        <v>10</v>
      </c>
      <c r="L20" s="10">
        <f>U18/(50*10)</f>
        <v>0.63600000000000001</v>
      </c>
    </row>
    <row r="21" spans="1:21" x14ac:dyDescent="0.25">
      <c r="A21" s="5">
        <v>17</v>
      </c>
      <c r="B21" s="5">
        <f t="shared" ca="1" si="0"/>
        <v>0</v>
      </c>
      <c r="C21" s="5">
        <f t="shared" ca="1" si="1"/>
        <v>0</v>
      </c>
      <c r="D21" s="5">
        <f t="shared" ca="1" si="2"/>
        <v>1</v>
      </c>
      <c r="E21" s="6">
        <f t="shared" ca="1" si="3"/>
        <v>0.87149433238929441</v>
      </c>
      <c r="F21" s="13">
        <f t="shared" ca="1" si="4"/>
        <v>0</v>
      </c>
      <c r="G21" s="5">
        <f t="shared" ca="1" si="5"/>
        <v>2</v>
      </c>
      <c r="H21" s="5">
        <f t="shared" ca="1" si="6"/>
        <v>1</v>
      </c>
      <c r="I21" s="5"/>
    </row>
    <row r="22" spans="1:21" x14ac:dyDescent="0.25">
      <c r="A22" s="5">
        <v>18</v>
      </c>
      <c r="B22" s="5">
        <f t="shared" ca="1" si="0"/>
        <v>0</v>
      </c>
      <c r="C22" s="5">
        <f t="shared" ca="1" si="1"/>
        <v>1</v>
      </c>
      <c r="D22" s="5">
        <f t="shared" ca="1" si="2"/>
        <v>0</v>
      </c>
      <c r="E22" s="6">
        <f t="shared" ca="1" si="3"/>
        <v>0.49865762774618683</v>
      </c>
      <c r="F22" s="13">
        <f t="shared" ca="1" si="4"/>
        <v>0</v>
      </c>
      <c r="G22" s="5">
        <f t="shared" ca="1" si="5"/>
        <v>3</v>
      </c>
      <c r="H22" s="5">
        <f t="shared" ca="1" si="6"/>
        <v>1</v>
      </c>
      <c r="I22" s="5"/>
    </row>
    <row r="23" spans="1:21" x14ac:dyDescent="0.25">
      <c r="A23" s="5">
        <v>19</v>
      </c>
      <c r="B23" s="5">
        <f t="shared" ca="1" si="0"/>
        <v>1</v>
      </c>
      <c r="C23" s="5">
        <f t="shared" ca="1" si="1"/>
        <v>0</v>
      </c>
      <c r="D23" s="5">
        <f t="shared" ca="1" si="2"/>
        <v>0</v>
      </c>
      <c r="E23" s="6">
        <f t="shared" ca="1" si="3"/>
        <v>0.21113142647747585</v>
      </c>
      <c r="F23" s="13">
        <f t="shared" ca="1" si="4"/>
        <v>1</v>
      </c>
      <c r="G23" s="5">
        <f t="shared" ca="1" si="5"/>
        <v>2</v>
      </c>
      <c r="H23" s="5">
        <f t="shared" ca="1" si="6"/>
        <v>0</v>
      </c>
      <c r="I23" s="5"/>
    </row>
    <row r="24" spans="1:21" x14ac:dyDescent="0.25">
      <c r="A24" s="5">
        <v>20</v>
      </c>
      <c r="B24" s="5">
        <f t="shared" ca="1" si="0"/>
        <v>1</v>
      </c>
      <c r="C24" s="5">
        <f t="shared" ca="1" si="1"/>
        <v>0</v>
      </c>
      <c r="D24" s="5">
        <f t="shared" ca="1" si="2"/>
        <v>0</v>
      </c>
      <c r="E24" s="6">
        <f t="shared" ca="1" si="3"/>
        <v>0.29846046636219548</v>
      </c>
      <c r="F24" s="13">
        <f t="shared" ca="1" si="4"/>
        <v>1</v>
      </c>
      <c r="G24" s="5">
        <f t="shared" ca="1" si="5"/>
        <v>2</v>
      </c>
      <c r="H24" s="5">
        <f t="shared" ca="1" si="6"/>
        <v>0</v>
      </c>
      <c r="I24" s="5"/>
    </row>
    <row r="25" spans="1:21" x14ac:dyDescent="0.25">
      <c r="A25" s="5">
        <v>21</v>
      </c>
      <c r="B25" s="5">
        <f t="shared" ca="1" si="0"/>
        <v>0</v>
      </c>
      <c r="C25" s="5">
        <f t="shared" ca="1" si="1"/>
        <v>0</v>
      </c>
      <c r="D25" s="5">
        <f t="shared" ca="1" si="2"/>
        <v>1</v>
      </c>
      <c r="E25" s="6">
        <f t="shared" ca="1" si="3"/>
        <v>0.98138361506112815</v>
      </c>
      <c r="F25" s="13">
        <f t="shared" ca="1" si="4"/>
        <v>0</v>
      </c>
      <c r="G25" s="5">
        <f t="shared" ca="1" si="5"/>
        <v>2</v>
      </c>
      <c r="H25" s="5">
        <f t="shared" ca="1" si="6"/>
        <v>1</v>
      </c>
      <c r="I25" s="5"/>
    </row>
    <row r="26" spans="1:21" x14ac:dyDescent="0.25">
      <c r="A26" s="5">
        <v>22</v>
      </c>
      <c r="B26" s="5">
        <f t="shared" ca="1" si="0"/>
        <v>0</v>
      </c>
      <c r="C26" s="5">
        <f t="shared" ca="1" si="1"/>
        <v>1</v>
      </c>
      <c r="D26" s="5">
        <f t="shared" ca="1" si="2"/>
        <v>0</v>
      </c>
      <c r="E26" s="6">
        <f t="shared" ca="1" si="3"/>
        <v>0.58472862208869736</v>
      </c>
      <c r="F26" s="13">
        <f t="shared" ca="1" si="4"/>
        <v>0</v>
      </c>
      <c r="G26" s="5">
        <f t="shared" ca="1" si="5"/>
        <v>3</v>
      </c>
      <c r="H26" s="5">
        <f t="shared" ca="1" si="6"/>
        <v>1</v>
      </c>
      <c r="I26" s="5"/>
    </row>
    <row r="27" spans="1:21" x14ac:dyDescent="0.25">
      <c r="A27" s="5">
        <v>23</v>
      </c>
      <c r="B27" s="5">
        <f t="shared" ca="1" si="0"/>
        <v>0</v>
      </c>
      <c r="C27" s="5">
        <f t="shared" ca="1" si="1"/>
        <v>0</v>
      </c>
      <c r="D27" s="5">
        <f t="shared" ca="1" si="2"/>
        <v>1</v>
      </c>
      <c r="E27" s="6">
        <f t="shared" ca="1" si="3"/>
        <v>0.99349010157667783</v>
      </c>
      <c r="F27" s="13">
        <f t="shared" ca="1" si="4"/>
        <v>0</v>
      </c>
      <c r="G27" s="5">
        <f t="shared" ca="1" si="5"/>
        <v>2</v>
      </c>
      <c r="H27" s="5">
        <f t="shared" ca="1" si="6"/>
        <v>1</v>
      </c>
      <c r="I27" s="5"/>
    </row>
    <row r="28" spans="1:21" x14ac:dyDescent="0.25">
      <c r="A28" s="5">
        <v>24</v>
      </c>
      <c r="B28" s="5">
        <f t="shared" ca="1" si="0"/>
        <v>1</v>
      </c>
      <c r="C28" s="5">
        <f t="shared" ca="1" si="1"/>
        <v>0</v>
      </c>
      <c r="D28" s="5">
        <f t="shared" ca="1" si="2"/>
        <v>0</v>
      </c>
      <c r="E28" s="6">
        <f t="shared" ca="1" si="3"/>
        <v>5.0122729749849326E-2</v>
      </c>
      <c r="F28" s="13">
        <f t="shared" ca="1" si="4"/>
        <v>1</v>
      </c>
      <c r="G28" s="5">
        <f t="shared" ca="1" si="5"/>
        <v>2</v>
      </c>
      <c r="H28" s="5">
        <f t="shared" ca="1" si="6"/>
        <v>0</v>
      </c>
      <c r="I28" s="5"/>
    </row>
    <row r="29" spans="1:21" x14ac:dyDescent="0.25">
      <c r="A29" s="5">
        <v>25</v>
      </c>
      <c r="B29" s="5">
        <f t="shared" ca="1" si="0"/>
        <v>0</v>
      </c>
      <c r="C29" s="5">
        <f t="shared" ca="1" si="1"/>
        <v>1</v>
      </c>
      <c r="D29" s="5">
        <f t="shared" ca="1" si="2"/>
        <v>0</v>
      </c>
      <c r="E29" s="6">
        <f t="shared" ca="1" si="3"/>
        <v>0.38104640264125988</v>
      </c>
      <c r="F29" s="13">
        <f t="shared" ca="1" si="4"/>
        <v>0</v>
      </c>
      <c r="G29" s="5">
        <f t="shared" ca="1" si="5"/>
        <v>3</v>
      </c>
      <c r="H29" s="5">
        <f ca="1">C29+D29</f>
        <v>1</v>
      </c>
    </row>
    <row r="30" spans="1:21" x14ac:dyDescent="0.25">
      <c r="A30" s="5">
        <v>26</v>
      </c>
      <c r="B30" s="5">
        <f t="shared" ca="1" si="0"/>
        <v>0</v>
      </c>
      <c r="C30" s="5">
        <f t="shared" ca="1" si="1"/>
        <v>1</v>
      </c>
      <c r="D30" s="5">
        <f t="shared" ca="1" si="2"/>
        <v>0</v>
      </c>
      <c r="E30" s="6">
        <f t="shared" ca="1" si="3"/>
        <v>0.54016178726471009</v>
      </c>
      <c r="F30" s="13">
        <f t="shared" ca="1" si="4"/>
        <v>0</v>
      </c>
      <c r="G30" s="5">
        <f t="shared" ca="1" si="5"/>
        <v>3</v>
      </c>
      <c r="H30" s="5">
        <f t="shared" ca="1" si="6"/>
        <v>1</v>
      </c>
    </row>
    <row r="31" spans="1:21" x14ac:dyDescent="0.25">
      <c r="A31" s="5">
        <v>27</v>
      </c>
      <c r="B31" s="5">
        <f t="shared" ca="1" si="0"/>
        <v>0</v>
      </c>
      <c r="C31" s="5">
        <f t="shared" ca="1" si="1"/>
        <v>0</v>
      </c>
      <c r="D31" s="5">
        <f t="shared" ca="1" si="2"/>
        <v>1</v>
      </c>
      <c r="E31" s="6">
        <f t="shared" ca="1" si="3"/>
        <v>0.76810816862335862</v>
      </c>
      <c r="F31" s="13">
        <f t="shared" ca="1" si="4"/>
        <v>0</v>
      </c>
      <c r="G31" s="5">
        <f t="shared" ca="1" si="5"/>
        <v>2</v>
      </c>
      <c r="H31" s="5">
        <f t="shared" ca="1" si="6"/>
        <v>1</v>
      </c>
    </row>
    <row r="32" spans="1:21" x14ac:dyDescent="0.25">
      <c r="A32" s="5">
        <v>28</v>
      </c>
      <c r="B32" s="5">
        <f t="shared" ca="1" si="0"/>
        <v>0</v>
      </c>
      <c r="C32" s="5">
        <f t="shared" ca="1" si="1"/>
        <v>0</v>
      </c>
      <c r="D32" s="5">
        <f t="shared" ca="1" si="2"/>
        <v>1</v>
      </c>
      <c r="E32" s="6">
        <f t="shared" ca="1" si="3"/>
        <v>0.99362745995874491</v>
      </c>
      <c r="F32" s="13">
        <f t="shared" ca="1" si="4"/>
        <v>0</v>
      </c>
      <c r="G32" s="5">
        <f t="shared" ca="1" si="5"/>
        <v>2</v>
      </c>
      <c r="H32" s="5">
        <f t="shared" ca="1" si="6"/>
        <v>1</v>
      </c>
    </row>
    <row r="33" spans="1:8" x14ac:dyDescent="0.25">
      <c r="A33" s="5">
        <v>29</v>
      </c>
      <c r="B33" s="5">
        <f t="shared" ca="1" si="0"/>
        <v>1</v>
      </c>
      <c r="C33" s="5">
        <f t="shared" ca="1" si="1"/>
        <v>0</v>
      </c>
      <c r="D33" s="5">
        <f t="shared" ca="1" si="2"/>
        <v>0</v>
      </c>
      <c r="E33" s="6">
        <f t="shared" ca="1" si="3"/>
        <v>0.1312546947538803</v>
      </c>
      <c r="F33" s="13">
        <f t="shared" ca="1" si="4"/>
        <v>1</v>
      </c>
      <c r="G33" s="5">
        <f t="shared" ca="1" si="5"/>
        <v>2</v>
      </c>
      <c r="H33" s="5">
        <f t="shared" ca="1" si="6"/>
        <v>0</v>
      </c>
    </row>
    <row r="34" spans="1:8" x14ac:dyDescent="0.25">
      <c r="A34" s="5">
        <v>30</v>
      </c>
      <c r="B34" s="5">
        <f t="shared" ca="1" si="0"/>
        <v>1</v>
      </c>
      <c r="C34" s="5">
        <f t="shared" ca="1" si="1"/>
        <v>0</v>
      </c>
      <c r="D34" s="5">
        <f t="shared" ca="1" si="2"/>
        <v>0</v>
      </c>
      <c r="E34" s="6">
        <f t="shared" ca="1" si="3"/>
        <v>0.31662107800455719</v>
      </c>
      <c r="F34" s="13">
        <f t="shared" ca="1" si="4"/>
        <v>1</v>
      </c>
      <c r="G34" s="5">
        <f t="shared" ca="1" si="5"/>
        <v>2</v>
      </c>
      <c r="H34" s="5">
        <f t="shared" ca="1" si="6"/>
        <v>0</v>
      </c>
    </row>
    <row r="35" spans="1:8" x14ac:dyDescent="0.25">
      <c r="A35" s="5">
        <v>31</v>
      </c>
      <c r="B35" s="5">
        <f t="shared" ca="1" si="0"/>
        <v>0</v>
      </c>
      <c r="C35" s="5">
        <f t="shared" ca="1" si="1"/>
        <v>0</v>
      </c>
      <c r="D35" s="5">
        <f t="shared" ca="1" si="2"/>
        <v>1</v>
      </c>
      <c r="E35" s="6">
        <f t="shared" ca="1" si="3"/>
        <v>0.68446565741872822</v>
      </c>
      <c r="F35" s="13">
        <f t="shared" ca="1" si="4"/>
        <v>0</v>
      </c>
      <c r="G35" s="5">
        <f t="shared" ca="1" si="5"/>
        <v>2</v>
      </c>
      <c r="H35" s="5">
        <f t="shared" ca="1" si="6"/>
        <v>1</v>
      </c>
    </row>
    <row r="36" spans="1:8" x14ac:dyDescent="0.25">
      <c r="A36" s="5">
        <v>32</v>
      </c>
      <c r="B36" s="5">
        <f t="shared" ca="1" si="0"/>
        <v>1</v>
      </c>
      <c r="C36" s="5">
        <f t="shared" ca="1" si="1"/>
        <v>0</v>
      </c>
      <c r="D36" s="5">
        <f t="shared" ca="1" si="2"/>
        <v>0</v>
      </c>
      <c r="E36" s="6">
        <f t="shared" ca="1" si="3"/>
        <v>3.312657413054132E-2</v>
      </c>
      <c r="F36" s="13">
        <f t="shared" ca="1" si="4"/>
        <v>1</v>
      </c>
      <c r="G36" s="5">
        <f t="shared" ca="1" si="5"/>
        <v>2</v>
      </c>
      <c r="H36" s="5">
        <f t="shared" ca="1" si="6"/>
        <v>0</v>
      </c>
    </row>
    <row r="37" spans="1:8" x14ac:dyDescent="0.25">
      <c r="A37" s="5">
        <v>33</v>
      </c>
      <c r="B37" s="5">
        <f t="shared" ca="1" si="0"/>
        <v>1</v>
      </c>
      <c r="C37" s="5">
        <f t="shared" ca="1" si="1"/>
        <v>0</v>
      </c>
      <c r="D37" s="5">
        <f t="shared" ca="1" si="2"/>
        <v>0</v>
      </c>
      <c r="E37" s="6">
        <f t="shared" ca="1" si="3"/>
        <v>0.19826599016964186</v>
      </c>
      <c r="F37" s="13">
        <f t="shared" ca="1" si="4"/>
        <v>1</v>
      </c>
      <c r="G37" s="5">
        <f t="shared" ca="1" si="5"/>
        <v>2</v>
      </c>
      <c r="H37" s="5">
        <f t="shared" ca="1" si="6"/>
        <v>0</v>
      </c>
    </row>
    <row r="38" spans="1:8" x14ac:dyDescent="0.25">
      <c r="A38" s="5">
        <v>34</v>
      </c>
      <c r="B38" s="5">
        <f t="shared" ca="1" si="0"/>
        <v>0</v>
      </c>
      <c r="C38" s="5">
        <f t="shared" ca="1" si="1"/>
        <v>1</v>
      </c>
      <c r="D38" s="5">
        <f t="shared" ca="1" si="2"/>
        <v>0</v>
      </c>
      <c r="E38" s="6">
        <f t="shared" ca="1" si="3"/>
        <v>0.43482619521936561</v>
      </c>
      <c r="F38" s="13">
        <f t="shared" ca="1" si="4"/>
        <v>0</v>
      </c>
      <c r="G38" s="5">
        <f t="shared" ca="1" si="5"/>
        <v>3</v>
      </c>
      <c r="H38" s="5">
        <f t="shared" ca="1" si="6"/>
        <v>1</v>
      </c>
    </row>
    <row r="39" spans="1:8" x14ac:dyDescent="0.25">
      <c r="A39" s="5">
        <v>35</v>
      </c>
      <c r="B39" s="5">
        <f t="shared" ca="1" si="0"/>
        <v>1</v>
      </c>
      <c r="C39" s="5">
        <f t="shared" ca="1" si="1"/>
        <v>0</v>
      </c>
      <c r="D39" s="5">
        <f t="shared" ca="1" si="2"/>
        <v>0</v>
      </c>
      <c r="E39" s="6">
        <f t="shared" ca="1" si="3"/>
        <v>0.18144678393319513</v>
      </c>
      <c r="F39" s="13">
        <f t="shared" ca="1" si="4"/>
        <v>1</v>
      </c>
      <c r="G39" s="5">
        <f t="shared" ca="1" si="5"/>
        <v>2</v>
      </c>
      <c r="H39" s="5">
        <f t="shared" ca="1" si="6"/>
        <v>0</v>
      </c>
    </row>
    <row r="40" spans="1:8" x14ac:dyDescent="0.25">
      <c r="A40" s="5">
        <v>36</v>
      </c>
      <c r="B40" s="5">
        <f t="shared" ca="1" si="0"/>
        <v>0</v>
      </c>
      <c r="C40" s="5">
        <f t="shared" ca="1" si="1"/>
        <v>1</v>
      </c>
      <c r="D40" s="5">
        <f t="shared" ca="1" si="2"/>
        <v>0</v>
      </c>
      <c r="E40" s="6">
        <f t="shared" ca="1" si="3"/>
        <v>0.57470583349955451</v>
      </c>
      <c r="F40" s="13">
        <f t="shared" ca="1" si="4"/>
        <v>0</v>
      </c>
      <c r="G40" s="5">
        <f t="shared" ca="1" si="5"/>
        <v>3</v>
      </c>
      <c r="H40" s="5">
        <f t="shared" ca="1" si="6"/>
        <v>1</v>
      </c>
    </row>
    <row r="41" spans="1:8" x14ac:dyDescent="0.25">
      <c r="A41" s="5">
        <v>37</v>
      </c>
      <c r="B41" s="5">
        <f t="shared" ca="1" si="0"/>
        <v>0</v>
      </c>
      <c r="C41" s="5">
        <f t="shared" ca="1" si="1"/>
        <v>0</v>
      </c>
      <c r="D41" s="5">
        <f t="shared" ca="1" si="2"/>
        <v>1</v>
      </c>
      <c r="E41" s="6">
        <f t="shared" ca="1" si="3"/>
        <v>0.7661622536488979</v>
      </c>
      <c r="F41" s="13">
        <f t="shared" ca="1" si="4"/>
        <v>0</v>
      </c>
      <c r="G41" s="5">
        <f t="shared" ca="1" si="5"/>
        <v>2</v>
      </c>
      <c r="H41" s="5">
        <f t="shared" ca="1" si="6"/>
        <v>1</v>
      </c>
    </row>
    <row r="42" spans="1:8" x14ac:dyDescent="0.25">
      <c r="A42" s="5">
        <v>38</v>
      </c>
      <c r="B42" s="5">
        <f t="shared" ca="1" si="0"/>
        <v>0</v>
      </c>
      <c r="C42" s="5">
        <f t="shared" ca="1" si="1"/>
        <v>1</v>
      </c>
      <c r="D42" s="5">
        <f t="shared" ca="1" si="2"/>
        <v>0</v>
      </c>
      <c r="E42" s="6">
        <f t="shared" ca="1" si="3"/>
        <v>0.65080256456825092</v>
      </c>
      <c r="F42" s="13">
        <f t="shared" ca="1" si="4"/>
        <v>0</v>
      </c>
      <c r="G42" s="5">
        <f t="shared" ca="1" si="5"/>
        <v>3</v>
      </c>
      <c r="H42" s="5">
        <f t="shared" ca="1" si="6"/>
        <v>1</v>
      </c>
    </row>
    <row r="43" spans="1:8" x14ac:dyDescent="0.25">
      <c r="A43" s="5">
        <v>39</v>
      </c>
      <c r="B43" s="5">
        <f t="shared" ca="1" si="0"/>
        <v>0</v>
      </c>
      <c r="C43" s="5">
        <f t="shared" ca="1" si="1"/>
        <v>1</v>
      </c>
      <c r="D43" s="5">
        <f t="shared" ca="1" si="2"/>
        <v>0</v>
      </c>
      <c r="E43" s="6">
        <f t="shared" ca="1" si="3"/>
        <v>0.45093895309643128</v>
      </c>
      <c r="F43" s="13">
        <f t="shared" ca="1" si="4"/>
        <v>0</v>
      </c>
      <c r="G43" s="5">
        <f t="shared" ca="1" si="5"/>
        <v>3</v>
      </c>
      <c r="H43" s="5">
        <f t="shared" ca="1" si="6"/>
        <v>1</v>
      </c>
    </row>
    <row r="44" spans="1:8" x14ac:dyDescent="0.25">
      <c r="A44" s="5">
        <v>40</v>
      </c>
      <c r="B44" s="5">
        <f t="shared" ca="1" si="0"/>
        <v>0</v>
      </c>
      <c r="C44" s="5">
        <f t="shared" ca="1" si="1"/>
        <v>1</v>
      </c>
      <c r="D44" s="5">
        <f t="shared" ca="1" si="2"/>
        <v>0</v>
      </c>
      <c r="E44" s="6">
        <f t="shared" ca="1" si="3"/>
        <v>0.52739078538874862</v>
      </c>
      <c r="F44" s="13">
        <f t="shared" ca="1" si="4"/>
        <v>0</v>
      </c>
      <c r="G44" s="5">
        <f t="shared" ca="1" si="5"/>
        <v>3</v>
      </c>
      <c r="H44" s="5">
        <f t="shared" ca="1" si="6"/>
        <v>1</v>
      </c>
    </row>
    <row r="45" spans="1:8" x14ac:dyDescent="0.25">
      <c r="A45" s="5">
        <v>41</v>
      </c>
      <c r="B45" s="5">
        <f t="shared" ca="1" si="0"/>
        <v>0</v>
      </c>
      <c r="C45" s="5">
        <f t="shared" ca="1" si="1"/>
        <v>1</v>
      </c>
      <c r="D45" s="5">
        <f t="shared" ca="1" si="2"/>
        <v>0</v>
      </c>
      <c r="E45" s="6">
        <f t="shared" ca="1" si="3"/>
        <v>0.41097047059854319</v>
      </c>
      <c r="F45" s="13">
        <f t="shared" ca="1" si="4"/>
        <v>0</v>
      </c>
      <c r="G45" s="5">
        <f t="shared" ca="1" si="5"/>
        <v>3</v>
      </c>
      <c r="H45" s="5">
        <f t="shared" ca="1" si="6"/>
        <v>1</v>
      </c>
    </row>
    <row r="46" spans="1:8" x14ac:dyDescent="0.25">
      <c r="A46" s="5">
        <v>42</v>
      </c>
      <c r="B46" s="5">
        <f t="shared" ca="1" si="0"/>
        <v>0</v>
      </c>
      <c r="C46" s="5">
        <f t="shared" ca="1" si="1"/>
        <v>1</v>
      </c>
      <c r="D46" s="5">
        <f t="shared" ca="1" si="2"/>
        <v>0</v>
      </c>
      <c r="E46" s="6">
        <f t="shared" ca="1" si="3"/>
        <v>0.4994170284936692</v>
      </c>
      <c r="F46" s="13">
        <f t="shared" ca="1" si="4"/>
        <v>0</v>
      </c>
      <c r="G46" s="5">
        <f t="shared" ca="1" si="5"/>
        <v>3</v>
      </c>
      <c r="H46" s="5">
        <f t="shared" ca="1" si="6"/>
        <v>1</v>
      </c>
    </row>
    <row r="47" spans="1:8" x14ac:dyDescent="0.25">
      <c r="A47" s="5">
        <v>43</v>
      </c>
      <c r="B47" s="5">
        <f t="shared" ca="1" si="0"/>
        <v>0</v>
      </c>
      <c r="C47" s="5">
        <f t="shared" ca="1" si="1"/>
        <v>1</v>
      </c>
      <c r="D47" s="5">
        <f t="shared" ca="1" si="2"/>
        <v>0</v>
      </c>
      <c r="E47" s="6">
        <f t="shared" ca="1" si="3"/>
        <v>0.4085467831564068</v>
      </c>
      <c r="F47" s="13">
        <f t="shared" ca="1" si="4"/>
        <v>0</v>
      </c>
      <c r="G47" s="5">
        <f t="shared" ca="1" si="5"/>
        <v>3</v>
      </c>
      <c r="H47" s="5">
        <f t="shared" ca="1" si="6"/>
        <v>1</v>
      </c>
    </row>
    <row r="48" spans="1:8" x14ac:dyDescent="0.25">
      <c r="A48" s="5">
        <v>44</v>
      </c>
      <c r="B48" s="5">
        <f t="shared" ca="1" si="0"/>
        <v>0</v>
      </c>
      <c r="C48" s="5">
        <f t="shared" ca="1" si="1"/>
        <v>1</v>
      </c>
      <c r="D48" s="5">
        <f t="shared" ca="1" si="2"/>
        <v>0</v>
      </c>
      <c r="E48" s="6">
        <f t="shared" ca="1" si="3"/>
        <v>0.51488616040135604</v>
      </c>
      <c r="F48" s="13">
        <f t="shared" ca="1" si="4"/>
        <v>0</v>
      </c>
      <c r="G48" s="5">
        <f t="shared" ca="1" si="5"/>
        <v>3</v>
      </c>
      <c r="H48" s="5">
        <f ca="1">C48+D48</f>
        <v>1</v>
      </c>
    </row>
    <row r="49" spans="1:8" x14ac:dyDescent="0.25">
      <c r="A49" s="5">
        <v>45</v>
      </c>
      <c r="B49" s="5">
        <f t="shared" ca="1" si="0"/>
        <v>0</v>
      </c>
      <c r="C49" s="5">
        <f t="shared" ca="1" si="1"/>
        <v>0</v>
      </c>
      <c r="D49" s="5">
        <f t="shared" ca="1" si="2"/>
        <v>1</v>
      </c>
      <c r="E49" s="6">
        <f t="shared" ca="1" si="3"/>
        <v>0.86783964347678244</v>
      </c>
      <c r="F49" s="13">
        <f t="shared" ca="1" si="4"/>
        <v>0</v>
      </c>
      <c r="G49" s="5">
        <f t="shared" ca="1" si="5"/>
        <v>2</v>
      </c>
      <c r="H49" s="5">
        <f t="shared" ca="1" si="6"/>
        <v>1</v>
      </c>
    </row>
    <row r="50" spans="1:8" x14ac:dyDescent="0.25">
      <c r="A50" s="5">
        <v>46</v>
      </c>
      <c r="B50" s="5">
        <f t="shared" ca="1" si="0"/>
        <v>1</v>
      </c>
      <c r="C50" s="5">
        <f t="shared" ca="1" si="1"/>
        <v>0</v>
      </c>
      <c r="D50" s="5">
        <f t="shared" ca="1" si="2"/>
        <v>0</v>
      </c>
      <c r="E50" s="6">
        <f t="shared" ca="1" si="3"/>
        <v>8.2207432227958899E-2</v>
      </c>
      <c r="F50" s="13">
        <f t="shared" ca="1" si="4"/>
        <v>1</v>
      </c>
      <c r="G50" s="5">
        <f t="shared" ca="1" si="5"/>
        <v>2</v>
      </c>
      <c r="H50" s="5">
        <f t="shared" ca="1" si="6"/>
        <v>0</v>
      </c>
    </row>
    <row r="51" spans="1:8" x14ac:dyDescent="0.25">
      <c r="A51" s="5">
        <v>47</v>
      </c>
      <c r="B51" s="5">
        <f t="shared" ca="1" si="0"/>
        <v>0</v>
      </c>
      <c r="C51" s="5">
        <f t="shared" ca="1" si="1"/>
        <v>0</v>
      </c>
      <c r="D51" s="5">
        <f t="shared" ca="1" si="2"/>
        <v>1</v>
      </c>
      <c r="E51" s="6">
        <f t="shared" ca="1" si="3"/>
        <v>0.69115320586082263</v>
      </c>
      <c r="F51" s="13">
        <f t="shared" ca="1" si="4"/>
        <v>0</v>
      </c>
      <c r="G51" s="5">
        <f t="shared" ca="1" si="5"/>
        <v>2</v>
      </c>
      <c r="H51" s="5">
        <f t="shared" ca="1" si="6"/>
        <v>1</v>
      </c>
    </row>
    <row r="52" spans="1:8" x14ac:dyDescent="0.25">
      <c r="A52" s="5">
        <v>48</v>
      </c>
      <c r="B52" s="5">
        <f t="shared" ca="1" si="0"/>
        <v>0</v>
      </c>
      <c r="C52" s="5">
        <f t="shared" ca="1" si="1"/>
        <v>1</v>
      </c>
      <c r="D52" s="5">
        <f t="shared" ca="1" si="2"/>
        <v>0</v>
      </c>
      <c r="E52" s="6">
        <f t="shared" ca="1" si="3"/>
        <v>0.4244836131515739</v>
      </c>
      <c r="F52" s="13">
        <f t="shared" ca="1" si="4"/>
        <v>0</v>
      </c>
      <c r="G52" s="5">
        <f t="shared" ca="1" si="5"/>
        <v>3</v>
      </c>
      <c r="H52" s="5">
        <f t="shared" ca="1" si="6"/>
        <v>1</v>
      </c>
    </row>
    <row r="53" spans="1:8" x14ac:dyDescent="0.25">
      <c r="A53" s="5">
        <v>49</v>
      </c>
      <c r="B53" s="5">
        <f t="shared" ca="1" si="0"/>
        <v>1</v>
      </c>
      <c r="C53" s="5">
        <f t="shared" ca="1" si="1"/>
        <v>0</v>
      </c>
      <c r="D53" s="5">
        <f t="shared" ca="1" si="2"/>
        <v>0</v>
      </c>
      <c r="E53" s="6">
        <f t="shared" ca="1" si="3"/>
        <v>1.060194804692538E-2</v>
      </c>
      <c r="F53" s="13">
        <f t="shared" ca="1" si="4"/>
        <v>1</v>
      </c>
      <c r="G53" s="5">
        <f t="shared" ca="1" si="5"/>
        <v>2</v>
      </c>
      <c r="H53" s="5">
        <f t="shared" ca="1" si="6"/>
        <v>0</v>
      </c>
    </row>
    <row r="54" spans="1:8" x14ac:dyDescent="0.25">
      <c r="A54" s="5">
        <v>50</v>
      </c>
      <c r="B54" s="5">
        <f t="shared" ca="1" si="0"/>
        <v>1</v>
      </c>
      <c r="C54" s="5">
        <f t="shared" ca="1" si="1"/>
        <v>0</v>
      </c>
      <c r="D54" s="5">
        <f t="shared" ca="1" si="2"/>
        <v>0</v>
      </c>
      <c r="E54" s="6">
        <f t="shared" ca="1" si="3"/>
        <v>0.13058026610901441</v>
      </c>
      <c r="F54" s="13">
        <f t="shared" ca="1" si="4"/>
        <v>1</v>
      </c>
      <c r="G54" s="5">
        <f t="shared" ca="1" si="5"/>
        <v>2</v>
      </c>
      <c r="H54" s="5">
        <f t="shared" ca="1" si="6"/>
        <v>0</v>
      </c>
    </row>
    <row r="55" spans="1:8" x14ac:dyDescent="0.25">
      <c r="A55" s="5"/>
      <c r="F55" s="7">
        <f ca="1">SUM(F5:F54)</f>
        <v>17</v>
      </c>
      <c r="H55" s="7">
        <f t="shared" ref="H55" ca="1" si="9">SUM(H5:H54)</f>
        <v>33</v>
      </c>
    </row>
    <row r="56" spans="1:8" x14ac:dyDescent="0.25">
      <c r="A56" s="5"/>
    </row>
    <row r="57" spans="1:8" x14ac:dyDescent="0.25">
      <c r="A57" s="5"/>
    </row>
    <row r="58" spans="1:8" x14ac:dyDescent="0.25">
      <c r="A58" s="5"/>
    </row>
    <row r="59" spans="1:8" x14ac:dyDescent="0.25">
      <c r="A59" s="5"/>
    </row>
    <row r="60" spans="1:8" x14ac:dyDescent="0.25">
      <c r="A60" s="5"/>
    </row>
    <row r="61" spans="1:8" x14ac:dyDescent="0.25">
      <c r="A61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D4837-A8F3-435C-B1CF-3A59949DBE32}">
  <dimension ref="A1:V61"/>
  <sheetViews>
    <sheetView tabSelected="1" zoomScaleNormal="100" workbookViewId="0">
      <selection activeCell="N32" sqref="N32"/>
    </sheetView>
  </sheetViews>
  <sheetFormatPr defaultRowHeight="15" x14ac:dyDescent="0.25"/>
  <sheetData>
    <row r="1" spans="1:21" ht="20.25" x14ac:dyDescent="0.3">
      <c r="B1" s="4" t="s">
        <v>21</v>
      </c>
      <c r="C1" s="2"/>
      <c r="D1" s="2"/>
      <c r="E1" s="2"/>
      <c r="F1" s="2"/>
      <c r="G1" s="2"/>
      <c r="H1" s="2"/>
      <c r="I1" s="2"/>
      <c r="J1" s="2"/>
      <c r="K1" s="2"/>
    </row>
    <row r="2" spans="1:21" ht="30" customHeight="1" x14ac:dyDescent="0.3">
      <c r="B2" s="12" t="s">
        <v>36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21" x14ac:dyDescent="0.25">
      <c r="B3" t="s">
        <v>37</v>
      </c>
    </row>
    <row r="4" spans="1:21" x14ac:dyDescent="0.25">
      <c r="A4" t="s">
        <v>0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15</v>
      </c>
      <c r="H4" t="s">
        <v>24</v>
      </c>
      <c r="I4" t="s">
        <v>16</v>
      </c>
      <c r="J4" t="s">
        <v>25</v>
      </c>
    </row>
    <row r="5" spans="1:21" x14ac:dyDescent="0.25">
      <c r="A5" s="5">
        <v>1</v>
      </c>
      <c r="B5" s="5">
        <f ca="1">IF(E5&lt;0.333333,1,0)</f>
        <v>0</v>
      </c>
      <c r="C5" s="5">
        <f ca="1">IF(B5=1,0,IF(E5&lt;0.666667,1,0))</f>
        <v>0</v>
      </c>
      <c r="D5" s="5">
        <f ca="1">IF(B5=1,0,IF(C5=1,0,1))</f>
        <v>1</v>
      </c>
      <c r="E5" s="6">
        <f ca="1">RAND()</f>
        <v>0.69210066089381406</v>
      </c>
      <c r="F5" s="5">
        <f ca="1">IF(B5=1,1,0)</f>
        <v>0</v>
      </c>
      <c r="G5" s="5">
        <f ca="1">IF(C5=1,2,3)</f>
        <v>3</v>
      </c>
      <c r="H5" s="13">
        <f ca="1">C5+D5</f>
        <v>1</v>
      </c>
      <c r="I5" s="5">
        <f ca="1">1-H5</f>
        <v>0</v>
      </c>
      <c r="J5" s="1" t="s">
        <v>7</v>
      </c>
      <c r="K5" s="8">
        <v>1</v>
      </c>
      <c r="L5" s="8">
        <v>2</v>
      </c>
      <c r="M5" s="8">
        <v>3</v>
      </c>
      <c r="N5" s="8">
        <v>4</v>
      </c>
      <c r="O5" s="8">
        <v>5</v>
      </c>
      <c r="P5" s="8">
        <v>6</v>
      </c>
      <c r="Q5" s="8">
        <v>7</v>
      </c>
      <c r="R5" s="8">
        <v>8</v>
      </c>
      <c r="S5" s="8">
        <v>9</v>
      </c>
      <c r="T5" s="8">
        <v>10</v>
      </c>
    </row>
    <row r="6" spans="1:21" x14ac:dyDescent="0.25">
      <c r="A6" s="5">
        <v>2</v>
      </c>
      <c r="B6" s="5">
        <f t="shared" ref="B6:B54" ca="1" si="0">IF(E6&lt;0.333333,1,0)</f>
        <v>0</v>
      </c>
      <c r="C6" s="5">
        <f t="shared" ref="C6:C54" ca="1" si="1">IF(B6=1,0,IF(E6&lt;0.666667,1,0))</f>
        <v>1</v>
      </c>
      <c r="D6" s="5">
        <f t="shared" ref="D6:D54" ca="1" si="2">IF(B6=1,0,IF(C6=1,0,1))</f>
        <v>0</v>
      </c>
      <c r="E6" s="6">
        <f t="shared" ref="E6:E54" ca="1" si="3">RAND()</f>
        <v>0.42842192343753183</v>
      </c>
      <c r="F6" s="5">
        <f t="shared" ref="F6:F54" ca="1" si="4">IF(B6=1,1,0)</f>
        <v>0</v>
      </c>
      <c r="G6" s="5">
        <f t="shared" ref="G6:G54" ca="1" si="5">IF(C6=1,2,3)</f>
        <v>2</v>
      </c>
      <c r="H6" s="13">
        <f t="shared" ref="H6:H54" ca="1" si="6">C6+D6</f>
        <v>1</v>
      </c>
      <c r="I6" s="5">
        <f t="shared" ref="I6:I54" ca="1" si="7">1-H6</f>
        <v>0</v>
      </c>
      <c r="J6" s="1" t="s">
        <v>8</v>
      </c>
      <c r="K6" s="8">
        <f ca="1">$H$55</f>
        <v>38</v>
      </c>
      <c r="L6" s="8">
        <f t="shared" ref="L6:T6" ca="1" si="8">$H$55</f>
        <v>38</v>
      </c>
      <c r="M6" s="8">
        <f t="shared" ca="1" si="8"/>
        <v>38</v>
      </c>
      <c r="N6" s="8">
        <f t="shared" ca="1" si="8"/>
        <v>38</v>
      </c>
      <c r="O6" s="8">
        <f t="shared" ca="1" si="8"/>
        <v>38</v>
      </c>
      <c r="P6" s="8">
        <f t="shared" ca="1" si="8"/>
        <v>38</v>
      </c>
      <c r="Q6" s="8">
        <f t="shared" ca="1" si="8"/>
        <v>38</v>
      </c>
      <c r="R6" s="8">
        <f t="shared" ca="1" si="8"/>
        <v>38</v>
      </c>
      <c r="S6" s="8">
        <f t="shared" ca="1" si="8"/>
        <v>38</v>
      </c>
      <c r="T6" s="8">
        <f t="shared" ca="1" si="8"/>
        <v>38</v>
      </c>
      <c r="U6" s="9">
        <f ca="1">SUM(K6:T6)</f>
        <v>380</v>
      </c>
    </row>
    <row r="7" spans="1:21" x14ac:dyDescent="0.25">
      <c r="A7" s="5">
        <v>3</v>
      </c>
      <c r="B7" s="5">
        <f t="shared" ca="1" si="0"/>
        <v>0</v>
      </c>
      <c r="C7" s="5">
        <f t="shared" ca="1" si="1"/>
        <v>0</v>
      </c>
      <c r="D7" s="5">
        <f t="shared" ca="1" si="2"/>
        <v>1</v>
      </c>
      <c r="E7" s="6">
        <f t="shared" ca="1" si="3"/>
        <v>0.84256006423322527</v>
      </c>
      <c r="F7" s="5">
        <f t="shared" ca="1" si="4"/>
        <v>0</v>
      </c>
      <c r="G7" s="5">
        <f t="shared" ca="1" si="5"/>
        <v>3</v>
      </c>
      <c r="H7" s="13">
        <f t="shared" ca="1" si="6"/>
        <v>1</v>
      </c>
      <c r="I7" s="5">
        <f t="shared" ca="1" si="7"/>
        <v>0</v>
      </c>
      <c r="J7" s="1" t="s">
        <v>9</v>
      </c>
      <c r="K7" s="11">
        <v>36</v>
      </c>
      <c r="L7" s="11">
        <v>34</v>
      </c>
      <c r="M7" s="11">
        <v>31</v>
      </c>
      <c r="N7" s="11">
        <v>31</v>
      </c>
      <c r="O7" s="11">
        <v>37</v>
      </c>
      <c r="P7" s="11">
        <v>29</v>
      </c>
      <c r="Q7" s="11">
        <v>31</v>
      </c>
      <c r="R7" s="11">
        <v>31</v>
      </c>
      <c r="S7" s="11">
        <v>31</v>
      </c>
      <c r="T7" s="11">
        <v>31</v>
      </c>
      <c r="U7" s="9">
        <f>SUM(K7:T7)</f>
        <v>322</v>
      </c>
    </row>
    <row r="8" spans="1:21" x14ac:dyDescent="0.25">
      <c r="A8" s="5">
        <v>4</v>
      </c>
      <c r="B8" s="5">
        <f t="shared" ca="1" si="0"/>
        <v>0</v>
      </c>
      <c r="C8" s="5">
        <f t="shared" ca="1" si="1"/>
        <v>1</v>
      </c>
      <c r="D8" s="5">
        <f t="shared" ca="1" si="2"/>
        <v>0</v>
      </c>
      <c r="E8" s="6">
        <f t="shared" ca="1" si="3"/>
        <v>0.34751744958049935</v>
      </c>
      <c r="F8" s="5">
        <f t="shared" ca="1" si="4"/>
        <v>0</v>
      </c>
      <c r="G8" s="5">
        <f t="shared" ca="1" si="5"/>
        <v>2</v>
      </c>
      <c r="H8" s="13">
        <f t="shared" ca="1" si="6"/>
        <v>1</v>
      </c>
      <c r="I8" s="5">
        <f t="shared" ca="1" si="7"/>
        <v>0</v>
      </c>
    </row>
    <row r="9" spans="1:21" x14ac:dyDescent="0.25">
      <c r="A9" s="5">
        <v>5</v>
      </c>
      <c r="B9" s="5">
        <f t="shared" ca="1" si="0"/>
        <v>0</v>
      </c>
      <c r="C9" s="5">
        <f t="shared" ca="1" si="1"/>
        <v>0</v>
      </c>
      <c r="D9" s="5">
        <f t="shared" ca="1" si="2"/>
        <v>1</v>
      </c>
      <c r="E9" s="6">
        <f t="shared" ca="1" si="3"/>
        <v>0.91236152523799474</v>
      </c>
      <c r="F9" s="5">
        <f t="shared" ca="1" si="4"/>
        <v>0</v>
      </c>
      <c r="G9" s="5">
        <f t="shared" ca="1" si="5"/>
        <v>3</v>
      </c>
      <c r="H9" s="13">
        <f t="shared" ca="1" si="6"/>
        <v>1</v>
      </c>
      <c r="I9" s="5">
        <f t="shared" ca="1" si="7"/>
        <v>0</v>
      </c>
      <c r="J9" t="s">
        <v>26</v>
      </c>
      <c r="L9" s="10">
        <f>U7/(50*10)</f>
        <v>0.64400000000000002</v>
      </c>
    </row>
    <row r="10" spans="1:21" x14ac:dyDescent="0.25">
      <c r="A10" s="5">
        <v>6</v>
      </c>
      <c r="B10" s="5">
        <f t="shared" ca="1" si="0"/>
        <v>0</v>
      </c>
      <c r="C10" s="5">
        <f t="shared" ca="1" si="1"/>
        <v>1</v>
      </c>
      <c r="D10" s="5">
        <f t="shared" ca="1" si="2"/>
        <v>0</v>
      </c>
      <c r="E10" s="6">
        <f t="shared" ca="1" si="3"/>
        <v>0.50563973142015262</v>
      </c>
      <c r="F10" s="5">
        <f t="shared" ca="1" si="4"/>
        <v>0</v>
      </c>
      <c r="G10" s="5">
        <f t="shared" ca="1" si="5"/>
        <v>2</v>
      </c>
      <c r="H10" s="13">
        <f t="shared" ca="1" si="6"/>
        <v>1</v>
      </c>
      <c r="I10" s="5">
        <f t="shared" ca="1" si="7"/>
        <v>0</v>
      </c>
    </row>
    <row r="11" spans="1:21" x14ac:dyDescent="0.25">
      <c r="A11" s="5">
        <v>7</v>
      </c>
      <c r="B11" s="5">
        <f t="shared" ca="1" si="0"/>
        <v>1</v>
      </c>
      <c r="C11" s="5">
        <f t="shared" ca="1" si="1"/>
        <v>0</v>
      </c>
      <c r="D11" s="5">
        <f t="shared" ca="1" si="2"/>
        <v>0</v>
      </c>
      <c r="E11" s="6">
        <f t="shared" ca="1" si="3"/>
        <v>0.15303983762103102</v>
      </c>
      <c r="F11" s="5">
        <f t="shared" ca="1" si="4"/>
        <v>1</v>
      </c>
      <c r="G11" s="5">
        <f t="shared" ca="1" si="5"/>
        <v>3</v>
      </c>
      <c r="H11" s="13">
        <f t="shared" ca="1" si="6"/>
        <v>0</v>
      </c>
      <c r="I11" s="5">
        <f t="shared" ca="1" si="7"/>
        <v>1</v>
      </c>
      <c r="J11" t="s">
        <v>19</v>
      </c>
    </row>
    <row r="12" spans="1:21" x14ac:dyDescent="0.25">
      <c r="A12" s="5">
        <v>8</v>
      </c>
      <c r="B12" s="5">
        <f t="shared" ca="1" si="0"/>
        <v>1</v>
      </c>
      <c r="C12" s="5">
        <f t="shared" ca="1" si="1"/>
        <v>0</v>
      </c>
      <c r="D12" s="5">
        <f t="shared" ca="1" si="2"/>
        <v>0</v>
      </c>
      <c r="E12" s="6">
        <f t="shared" ca="1" si="3"/>
        <v>3.0033415602351177E-2</v>
      </c>
      <c r="F12" s="5">
        <f t="shared" ca="1" si="4"/>
        <v>1</v>
      </c>
      <c r="G12" s="5">
        <f t="shared" ca="1" si="5"/>
        <v>3</v>
      </c>
      <c r="H12" s="13">
        <f t="shared" ca="1" si="6"/>
        <v>0</v>
      </c>
      <c r="I12" s="5">
        <f t="shared" ca="1" si="7"/>
        <v>1</v>
      </c>
      <c r="J12" t="s">
        <v>28</v>
      </c>
    </row>
    <row r="13" spans="1:21" x14ac:dyDescent="0.25">
      <c r="A13" s="5">
        <v>9</v>
      </c>
      <c r="B13" s="5">
        <f t="shared" ca="1" si="0"/>
        <v>0</v>
      </c>
      <c r="C13" s="5">
        <f t="shared" ca="1" si="1"/>
        <v>0</v>
      </c>
      <c r="D13" s="5">
        <f t="shared" ca="1" si="2"/>
        <v>1</v>
      </c>
      <c r="E13" s="6">
        <f t="shared" ca="1" si="3"/>
        <v>0.92361020936945826</v>
      </c>
      <c r="F13" s="5">
        <f t="shared" ca="1" si="4"/>
        <v>0</v>
      </c>
      <c r="G13" s="5">
        <f t="shared" ca="1" si="5"/>
        <v>3</v>
      </c>
      <c r="H13" s="13">
        <f t="shared" ca="1" si="6"/>
        <v>1</v>
      </c>
      <c r="I13" s="5">
        <f t="shared" ca="1" si="7"/>
        <v>0</v>
      </c>
      <c r="J13" t="s">
        <v>22</v>
      </c>
    </row>
    <row r="14" spans="1:21" x14ac:dyDescent="0.25">
      <c r="A14" s="5">
        <v>10</v>
      </c>
      <c r="B14" s="5">
        <f t="shared" ca="1" si="0"/>
        <v>0</v>
      </c>
      <c r="C14" s="5">
        <f t="shared" ca="1" si="1"/>
        <v>0</v>
      </c>
      <c r="D14" s="5">
        <f t="shared" ca="1" si="2"/>
        <v>1</v>
      </c>
      <c r="E14" s="6">
        <f t="shared" ca="1" si="3"/>
        <v>0.87033865122003362</v>
      </c>
      <c r="F14" s="5">
        <f t="shared" ca="1" si="4"/>
        <v>0</v>
      </c>
      <c r="G14" s="5">
        <f t="shared" ca="1" si="5"/>
        <v>3</v>
      </c>
      <c r="H14" s="13">
        <f t="shared" ca="1" si="6"/>
        <v>1</v>
      </c>
      <c r="I14" s="5">
        <f t="shared" ca="1" si="7"/>
        <v>0</v>
      </c>
    </row>
    <row r="15" spans="1:21" x14ac:dyDescent="0.25">
      <c r="A15" s="5">
        <v>11</v>
      </c>
      <c r="B15" s="5">
        <f t="shared" ca="1" si="0"/>
        <v>1</v>
      </c>
      <c r="C15" s="5">
        <f t="shared" ca="1" si="1"/>
        <v>0</v>
      </c>
      <c r="D15" s="5">
        <f t="shared" ca="1" si="2"/>
        <v>0</v>
      </c>
      <c r="E15" s="6">
        <f t="shared" ca="1" si="3"/>
        <v>0.27845568439304647</v>
      </c>
      <c r="F15" s="5">
        <f t="shared" ca="1" si="4"/>
        <v>1</v>
      </c>
      <c r="G15" s="5">
        <f t="shared" ca="1" si="5"/>
        <v>3</v>
      </c>
      <c r="H15" s="13">
        <f t="shared" ca="1" si="6"/>
        <v>0</v>
      </c>
      <c r="I15" s="5">
        <f t="shared" ca="1" si="7"/>
        <v>1</v>
      </c>
      <c r="J15" t="s">
        <v>27</v>
      </c>
    </row>
    <row r="16" spans="1:21" x14ac:dyDescent="0.25">
      <c r="A16" s="5">
        <v>12</v>
      </c>
      <c r="B16" s="5">
        <f t="shared" ca="1" si="0"/>
        <v>0</v>
      </c>
      <c r="C16" s="5">
        <f t="shared" ca="1" si="1"/>
        <v>1</v>
      </c>
      <c r="D16" s="5">
        <f t="shared" ca="1" si="2"/>
        <v>0</v>
      </c>
      <c r="E16" s="6">
        <f t="shared" ca="1" si="3"/>
        <v>0.64054895219393271</v>
      </c>
      <c r="F16" s="5">
        <f t="shared" ca="1" si="4"/>
        <v>0</v>
      </c>
      <c r="G16" s="5">
        <f t="shared" ca="1" si="5"/>
        <v>2</v>
      </c>
      <c r="H16" s="13">
        <f t="shared" ca="1" si="6"/>
        <v>1</v>
      </c>
      <c r="I16" s="5">
        <f t="shared" ca="1" si="7"/>
        <v>0</v>
      </c>
      <c r="J16" s="1" t="s">
        <v>7</v>
      </c>
      <c r="K16" s="8">
        <v>1</v>
      </c>
      <c r="L16" s="8">
        <v>2</v>
      </c>
      <c r="M16" s="8">
        <v>3</v>
      </c>
      <c r="N16" s="8">
        <v>4</v>
      </c>
      <c r="O16" s="8">
        <v>5</v>
      </c>
      <c r="P16" s="8">
        <v>6</v>
      </c>
      <c r="Q16" s="8">
        <v>7</v>
      </c>
      <c r="R16" s="8">
        <v>8</v>
      </c>
      <c r="S16" s="8">
        <v>9</v>
      </c>
      <c r="T16" s="8">
        <v>10</v>
      </c>
    </row>
    <row r="17" spans="1:22" x14ac:dyDescent="0.25">
      <c r="A17" s="5">
        <v>13</v>
      </c>
      <c r="B17" s="5">
        <f t="shared" ca="1" si="0"/>
        <v>0</v>
      </c>
      <c r="C17" s="5">
        <f t="shared" ca="1" si="1"/>
        <v>0</v>
      </c>
      <c r="D17" s="5">
        <f t="shared" ca="1" si="2"/>
        <v>1</v>
      </c>
      <c r="E17" s="6">
        <f t="shared" ca="1" si="3"/>
        <v>0.81193390291499212</v>
      </c>
      <c r="F17" s="5">
        <f t="shared" ca="1" si="4"/>
        <v>0</v>
      </c>
      <c r="G17" s="5">
        <f t="shared" ca="1" si="5"/>
        <v>3</v>
      </c>
      <c r="H17" s="13">
        <f t="shared" ca="1" si="6"/>
        <v>1</v>
      </c>
      <c r="I17" s="5">
        <f t="shared" ca="1" si="7"/>
        <v>0</v>
      </c>
      <c r="J17" s="1" t="s">
        <v>8</v>
      </c>
      <c r="K17" s="8">
        <f ca="1">$I$55</f>
        <v>12</v>
      </c>
      <c r="L17" s="8">
        <f t="shared" ref="L17:T17" ca="1" si="9">$I$55</f>
        <v>12</v>
      </c>
      <c r="M17" s="8">
        <f t="shared" ca="1" si="9"/>
        <v>12</v>
      </c>
      <c r="N17" s="8">
        <f t="shared" ca="1" si="9"/>
        <v>12</v>
      </c>
      <c r="O17" s="8">
        <f t="shared" ca="1" si="9"/>
        <v>12</v>
      </c>
      <c r="P17" s="8">
        <f t="shared" ca="1" si="9"/>
        <v>12</v>
      </c>
      <c r="Q17" s="8">
        <f t="shared" ca="1" si="9"/>
        <v>12</v>
      </c>
      <c r="R17" s="8">
        <f t="shared" ca="1" si="9"/>
        <v>12</v>
      </c>
      <c r="S17" s="8">
        <f t="shared" ca="1" si="9"/>
        <v>12</v>
      </c>
      <c r="T17" s="8">
        <f t="shared" ca="1" si="9"/>
        <v>12</v>
      </c>
      <c r="U17" s="9">
        <f ca="1">SUM(K17:T17)</f>
        <v>120</v>
      </c>
    </row>
    <row r="18" spans="1:22" x14ac:dyDescent="0.25">
      <c r="A18" s="5">
        <v>14</v>
      </c>
      <c r="B18" s="5">
        <f t="shared" ca="1" si="0"/>
        <v>0</v>
      </c>
      <c r="C18" s="5">
        <f t="shared" ca="1" si="1"/>
        <v>1</v>
      </c>
      <c r="D18" s="5">
        <f t="shared" ca="1" si="2"/>
        <v>0</v>
      </c>
      <c r="E18" s="6">
        <f t="shared" ca="1" si="3"/>
        <v>0.56172891186169138</v>
      </c>
      <c r="F18" s="5">
        <f t="shared" ca="1" si="4"/>
        <v>0</v>
      </c>
      <c r="G18" s="5">
        <f t="shared" ca="1" si="5"/>
        <v>2</v>
      </c>
      <c r="H18" s="13">
        <f t="shared" ca="1" si="6"/>
        <v>1</v>
      </c>
      <c r="I18" s="5">
        <f t="shared" ca="1" si="7"/>
        <v>0</v>
      </c>
      <c r="J18" s="1" t="s">
        <v>9</v>
      </c>
      <c r="K18" s="11">
        <v>18</v>
      </c>
      <c r="L18" s="11">
        <v>19</v>
      </c>
      <c r="M18" s="11">
        <v>16</v>
      </c>
      <c r="N18" s="11">
        <v>12</v>
      </c>
      <c r="O18" s="11">
        <v>15</v>
      </c>
      <c r="P18" s="11">
        <v>18</v>
      </c>
      <c r="Q18" s="11">
        <v>14</v>
      </c>
      <c r="R18" s="11">
        <v>21</v>
      </c>
      <c r="S18" s="11">
        <v>22</v>
      </c>
      <c r="T18" s="11">
        <v>15</v>
      </c>
      <c r="U18" s="9">
        <f>SUM(K18:T18)</f>
        <v>170</v>
      </c>
    </row>
    <row r="19" spans="1:22" x14ac:dyDescent="0.25">
      <c r="A19" s="5">
        <v>15</v>
      </c>
      <c r="B19" s="5">
        <f t="shared" ca="1" si="0"/>
        <v>0</v>
      </c>
      <c r="C19" s="5">
        <f t="shared" ca="1" si="1"/>
        <v>1</v>
      </c>
      <c r="D19" s="5">
        <f t="shared" ca="1" si="2"/>
        <v>0</v>
      </c>
      <c r="E19" s="6">
        <f t="shared" ca="1" si="3"/>
        <v>0.42656565605767416</v>
      </c>
      <c r="F19" s="5">
        <f t="shared" ca="1" si="4"/>
        <v>0</v>
      </c>
      <c r="G19" s="5">
        <f t="shared" ca="1" si="5"/>
        <v>2</v>
      </c>
      <c r="H19" s="13">
        <f t="shared" ca="1" si="6"/>
        <v>1</v>
      </c>
      <c r="I19" s="5">
        <f t="shared" ca="1" si="7"/>
        <v>0</v>
      </c>
    </row>
    <row r="20" spans="1:22" x14ac:dyDescent="0.25">
      <c r="A20" s="5">
        <v>16</v>
      </c>
      <c r="B20" s="5">
        <f t="shared" ca="1" si="0"/>
        <v>1</v>
      </c>
      <c r="C20" s="5">
        <f t="shared" ca="1" si="1"/>
        <v>0</v>
      </c>
      <c r="D20" s="5">
        <f t="shared" ca="1" si="2"/>
        <v>0</v>
      </c>
      <c r="E20" s="6">
        <f t="shared" ca="1" si="3"/>
        <v>9.4527830026632897E-2</v>
      </c>
      <c r="F20" s="5">
        <f t="shared" ca="1" si="4"/>
        <v>1</v>
      </c>
      <c r="G20" s="5">
        <f t="shared" ca="1" si="5"/>
        <v>3</v>
      </c>
      <c r="H20" s="13">
        <f t="shared" ca="1" si="6"/>
        <v>0</v>
      </c>
      <c r="I20" s="5">
        <f t="shared" ca="1" si="7"/>
        <v>1</v>
      </c>
      <c r="J20" t="s">
        <v>10</v>
      </c>
      <c r="L20" s="10">
        <f>U18/(50*10)</f>
        <v>0.34</v>
      </c>
    </row>
    <row r="21" spans="1:22" x14ac:dyDescent="0.25">
      <c r="A21" s="5">
        <v>17</v>
      </c>
      <c r="B21" s="5">
        <f t="shared" ca="1" si="0"/>
        <v>0</v>
      </c>
      <c r="C21" s="5">
        <f t="shared" ca="1" si="1"/>
        <v>1</v>
      </c>
      <c r="D21" s="5">
        <f t="shared" ca="1" si="2"/>
        <v>0</v>
      </c>
      <c r="E21" s="6">
        <f t="shared" ca="1" si="3"/>
        <v>0.55710184748079683</v>
      </c>
      <c r="F21" s="5">
        <f t="shared" ca="1" si="4"/>
        <v>0</v>
      </c>
      <c r="G21" s="5">
        <f t="shared" ca="1" si="5"/>
        <v>2</v>
      </c>
      <c r="H21" s="13">
        <f t="shared" ca="1" si="6"/>
        <v>1</v>
      </c>
      <c r="I21" s="5">
        <f t="shared" ca="1" si="7"/>
        <v>0</v>
      </c>
      <c r="K21" s="2" t="s">
        <v>33</v>
      </c>
      <c r="L21" s="2"/>
      <c r="M21" s="2"/>
      <c r="N21" s="2"/>
      <c r="O21" s="2"/>
      <c r="P21" s="2"/>
    </row>
    <row r="22" spans="1:22" x14ac:dyDescent="0.25">
      <c r="A22" s="5">
        <v>18</v>
      </c>
      <c r="B22" s="5">
        <f t="shared" ca="1" si="0"/>
        <v>0</v>
      </c>
      <c r="C22" s="5">
        <f t="shared" ca="1" si="1"/>
        <v>0</v>
      </c>
      <c r="D22" s="5">
        <f t="shared" ca="1" si="2"/>
        <v>1</v>
      </c>
      <c r="E22" s="6">
        <f t="shared" ca="1" si="3"/>
        <v>0.88089120981901214</v>
      </c>
      <c r="F22" s="5">
        <f t="shared" ca="1" si="4"/>
        <v>0</v>
      </c>
      <c r="G22" s="5">
        <f t="shared" ca="1" si="5"/>
        <v>3</v>
      </c>
      <c r="H22" s="13">
        <f t="shared" ca="1" si="6"/>
        <v>1</v>
      </c>
      <c r="I22" s="5">
        <f t="shared" ca="1" si="7"/>
        <v>0</v>
      </c>
      <c r="K22" t="s">
        <v>29</v>
      </c>
    </row>
    <row r="23" spans="1:22" x14ac:dyDescent="0.25">
      <c r="A23" s="5">
        <v>19</v>
      </c>
      <c r="B23" s="5">
        <f t="shared" ca="1" si="0"/>
        <v>0</v>
      </c>
      <c r="C23" s="5">
        <f t="shared" ca="1" si="1"/>
        <v>1</v>
      </c>
      <c r="D23" s="5">
        <f t="shared" ca="1" si="2"/>
        <v>0</v>
      </c>
      <c r="E23" s="6">
        <f t="shared" ca="1" si="3"/>
        <v>0.49715744810126494</v>
      </c>
      <c r="F23" s="5">
        <f t="shared" ca="1" si="4"/>
        <v>0</v>
      </c>
      <c r="G23" s="5">
        <f t="shared" ca="1" si="5"/>
        <v>2</v>
      </c>
      <c r="H23" s="13">
        <f t="shared" ca="1" si="6"/>
        <v>1</v>
      </c>
      <c r="I23" s="5">
        <f t="shared" ca="1" si="7"/>
        <v>0</v>
      </c>
      <c r="K23" t="s">
        <v>30</v>
      </c>
      <c r="L23" s="7">
        <f>'ИГРА-1'!J9</f>
        <v>0.33200000000000002</v>
      </c>
      <c r="M23" t="s">
        <v>31</v>
      </c>
      <c r="N23" s="7">
        <f>'ИГРА-2-1'!L9</f>
        <v>0.33200000000000002</v>
      </c>
      <c r="O23" t="s">
        <v>32</v>
      </c>
      <c r="P23" s="10">
        <f>L9</f>
        <v>0.64400000000000002</v>
      </c>
    </row>
    <row r="24" spans="1:22" x14ac:dyDescent="0.25">
      <c r="A24" s="5">
        <v>20</v>
      </c>
      <c r="B24" s="5">
        <f t="shared" ca="1" si="0"/>
        <v>0</v>
      </c>
      <c r="C24" s="5">
        <f t="shared" ca="1" si="1"/>
        <v>1</v>
      </c>
      <c r="D24" s="5">
        <f t="shared" ca="1" si="2"/>
        <v>0</v>
      </c>
      <c r="E24" s="6">
        <f t="shared" ca="1" si="3"/>
        <v>0.64903381872214472</v>
      </c>
      <c r="F24" s="5">
        <f t="shared" ca="1" si="4"/>
        <v>0</v>
      </c>
      <c r="G24" s="5">
        <f t="shared" ca="1" si="5"/>
        <v>2</v>
      </c>
      <c r="H24" s="13">
        <f t="shared" ca="1" si="6"/>
        <v>1</v>
      </c>
      <c r="I24" s="5">
        <f t="shared" ca="1" si="7"/>
        <v>0</v>
      </c>
    </row>
    <row r="25" spans="1:22" x14ac:dyDescent="0.25">
      <c r="A25" s="5">
        <v>21</v>
      </c>
      <c r="B25" s="5">
        <f t="shared" ca="1" si="0"/>
        <v>0</v>
      </c>
      <c r="C25" s="5">
        <f t="shared" ca="1" si="1"/>
        <v>0</v>
      </c>
      <c r="D25" s="5">
        <f t="shared" ca="1" si="2"/>
        <v>1</v>
      </c>
      <c r="E25" s="6">
        <f t="shared" ca="1" si="3"/>
        <v>0.95495596420059403</v>
      </c>
      <c r="F25" s="5">
        <f t="shared" ca="1" si="4"/>
        <v>0</v>
      </c>
      <c r="G25" s="5">
        <f t="shared" ca="1" si="5"/>
        <v>3</v>
      </c>
      <c r="H25" s="13">
        <f t="shared" ca="1" si="6"/>
        <v>1</v>
      </c>
      <c r="I25" s="5">
        <f t="shared" ca="1" si="7"/>
        <v>0</v>
      </c>
      <c r="K25" s="14" t="s">
        <v>38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spans="1:22" x14ac:dyDescent="0.25">
      <c r="A26" s="5">
        <v>22</v>
      </c>
      <c r="B26" s="5">
        <f t="shared" ca="1" si="0"/>
        <v>0</v>
      </c>
      <c r="C26" s="5">
        <f t="shared" ca="1" si="1"/>
        <v>1</v>
      </c>
      <c r="D26" s="5">
        <f t="shared" ca="1" si="2"/>
        <v>0</v>
      </c>
      <c r="E26" s="6">
        <f t="shared" ca="1" si="3"/>
        <v>0.59163085449638386</v>
      </c>
      <c r="F26" s="5">
        <f t="shared" ca="1" si="4"/>
        <v>0</v>
      </c>
      <c r="G26" s="5">
        <f t="shared" ca="1" si="5"/>
        <v>2</v>
      </c>
      <c r="H26" s="13">
        <f t="shared" ca="1" si="6"/>
        <v>1</v>
      </c>
      <c r="I26" s="5">
        <f t="shared" ca="1" si="7"/>
        <v>0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spans="1:22" x14ac:dyDescent="0.25">
      <c r="A27" s="5">
        <v>23</v>
      </c>
      <c r="B27" s="5">
        <f t="shared" ca="1" si="0"/>
        <v>0</v>
      </c>
      <c r="C27" s="5">
        <f t="shared" ca="1" si="1"/>
        <v>1</v>
      </c>
      <c r="D27" s="5">
        <f t="shared" ca="1" si="2"/>
        <v>0</v>
      </c>
      <c r="E27" s="6">
        <f t="shared" ca="1" si="3"/>
        <v>0.3952103778183419</v>
      </c>
      <c r="F27" s="5">
        <f t="shared" ca="1" si="4"/>
        <v>0</v>
      </c>
      <c r="G27" s="5">
        <f t="shared" ca="1" si="5"/>
        <v>2</v>
      </c>
      <c r="H27" s="13">
        <f t="shared" ca="1" si="6"/>
        <v>1</v>
      </c>
      <c r="I27" s="5">
        <f t="shared" ca="1" si="7"/>
        <v>0</v>
      </c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spans="1:22" x14ac:dyDescent="0.25">
      <c r="A28" s="5">
        <v>24</v>
      </c>
      <c r="B28" s="5">
        <f t="shared" ca="1" si="0"/>
        <v>0</v>
      </c>
      <c r="C28" s="5">
        <f t="shared" ca="1" si="1"/>
        <v>0</v>
      </c>
      <c r="D28" s="5">
        <f t="shared" ca="1" si="2"/>
        <v>1</v>
      </c>
      <c r="E28" s="6">
        <f t="shared" ca="1" si="3"/>
        <v>0.69027755284746906</v>
      </c>
      <c r="F28" s="5">
        <f t="shared" ca="1" si="4"/>
        <v>0</v>
      </c>
      <c r="G28" s="5">
        <f t="shared" ca="1" si="5"/>
        <v>3</v>
      </c>
      <c r="H28" s="13">
        <f t="shared" ca="1" si="6"/>
        <v>1</v>
      </c>
      <c r="I28" s="5">
        <f t="shared" ca="1" si="7"/>
        <v>0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spans="1:22" x14ac:dyDescent="0.25">
      <c r="A29" s="5">
        <v>25</v>
      </c>
      <c r="B29" s="5">
        <f t="shared" ca="1" si="0"/>
        <v>0</v>
      </c>
      <c r="C29" s="5">
        <f t="shared" ca="1" si="1"/>
        <v>1</v>
      </c>
      <c r="D29" s="5">
        <f t="shared" ca="1" si="2"/>
        <v>0</v>
      </c>
      <c r="E29" s="6">
        <f t="shared" ca="1" si="3"/>
        <v>0.42960019137036276</v>
      </c>
      <c r="F29" s="5">
        <f t="shared" ca="1" si="4"/>
        <v>0</v>
      </c>
      <c r="G29" s="5">
        <f t="shared" ca="1" si="5"/>
        <v>2</v>
      </c>
      <c r="H29" s="13">
        <f ca="1">C29+D29</f>
        <v>1</v>
      </c>
      <c r="I29" s="5">
        <f t="shared" ca="1" si="7"/>
        <v>0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spans="1:22" x14ac:dyDescent="0.25">
      <c r="A30" s="5">
        <v>26</v>
      </c>
      <c r="B30" s="5">
        <f t="shared" ca="1" si="0"/>
        <v>1</v>
      </c>
      <c r="C30" s="5">
        <f t="shared" ca="1" si="1"/>
        <v>0</v>
      </c>
      <c r="D30" s="5">
        <f t="shared" ca="1" si="2"/>
        <v>0</v>
      </c>
      <c r="E30" s="6">
        <f t="shared" ca="1" si="3"/>
        <v>0.25544616101182593</v>
      </c>
      <c r="F30" s="5">
        <f t="shared" ca="1" si="4"/>
        <v>1</v>
      </c>
      <c r="G30" s="5">
        <f t="shared" ca="1" si="5"/>
        <v>3</v>
      </c>
      <c r="H30" s="13">
        <f t="shared" ca="1" si="6"/>
        <v>0</v>
      </c>
      <c r="I30" s="5">
        <f t="shared" ca="1" si="7"/>
        <v>1</v>
      </c>
    </row>
    <row r="31" spans="1:22" x14ac:dyDescent="0.25">
      <c r="A31" s="5">
        <v>27</v>
      </c>
      <c r="B31" s="5">
        <f t="shared" ca="1" si="0"/>
        <v>1</v>
      </c>
      <c r="C31" s="5">
        <f t="shared" ca="1" si="1"/>
        <v>0</v>
      </c>
      <c r="D31" s="5">
        <f t="shared" ca="1" si="2"/>
        <v>0</v>
      </c>
      <c r="E31" s="6">
        <f t="shared" ca="1" si="3"/>
        <v>0.22906926275969397</v>
      </c>
      <c r="F31" s="5">
        <f t="shared" ca="1" si="4"/>
        <v>1</v>
      </c>
      <c r="G31" s="5">
        <f t="shared" ca="1" si="5"/>
        <v>3</v>
      </c>
      <c r="H31" s="13">
        <f t="shared" ca="1" si="6"/>
        <v>0</v>
      </c>
      <c r="I31" s="5">
        <f t="shared" ca="1" si="7"/>
        <v>1</v>
      </c>
    </row>
    <row r="32" spans="1:22" x14ac:dyDescent="0.25">
      <c r="A32" s="5">
        <v>28</v>
      </c>
      <c r="B32" s="5">
        <f t="shared" ca="1" si="0"/>
        <v>1</v>
      </c>
      <c r="C32" s="5">
        <f t="shared" ca="1" si="1"/>
        <v>0</v>
      </c>
      <c r="D32" s="5">
        <f t="shared" ca="1" si="2"/>
        <v>0</v>
      </c>
      <c r="E32" s="6">
        <f t="shared" ca="1" si="3"/>
        <v>2.9096096317523412E-2</v>
      </c>
      <c r="F32" s="5">
        <f t="shared" ca="1" si="4"/>
        <v>1</v>
      </c>
      <c r="G32" s="5">
        <f t="shared" ca="1" si="5"/>
        <v>3</v>
      </c>
      <c r="H32" s="13">
        <f t="shared" ca="1" si="6"/>
        <v>0</v>
      </c>
      <c r="I32" s="5">
        <f t="shared" ca="1" si="7"/>
        <v>1</v>
      </c>
    </row>
    <row r="33" spans="1:9" x14ac:dyDescent="0.25">
      <c r="A33" s="5">
        <v>29</v>
      </c>
      <c r="B33" s="5">
        <f t="shared" ca="1" si="0"/>
        <v>0</v>
      </c>
      <c r="C33" s="5">
        <f t="shared" ca="1" si="1"/>
        <v>0</v>
      </c>
      <c r="D33" s="5">
        <f t="shared" ca="1" si="2"/>
        <v>1</v>
      </c>
      <c r="E33" s="6">
        <f t="shared" ca="1" si="3"/>
        <v>0.69603781687382216</v>
      </c>
      <c r="F33" s="5">
        <f t="shared" ca="1" si="4"/>
        <v>0</v>
      </c>
      <c r="G33" s="5">
        <f t="shared" ca="1" si="5"/>
        <v>3</v>
      </c>
      <c r="H33" s="13">
        <f t="shared" ca="1" si="6"/>
        <v>1</v>
      </c>
      <c r="I33" s="5">
        <f t="shared" ca="1" si="7"/>
        <v>0</v>
      </c>
    </row>
    <row r="34" spans="1:9" x14ac:dyDescent="0.25">
      <c r="A34" s="5">
        <v>30</v>
      </c>
      <c r="B34" s="5">
        <f t="shared" ca="1" si="0"/>
        <v>1</v>
      </c>
      <c r="C34" s="5">
        <f t="shared" ca="1" si="1"/>
        <v>0</v>
      </c>
      <c r="D34" s="5">
        <f t="shared" ca="1" si="2"/>
        <v>0</v>
      </c>
      <c r="E34" s="6">
        <f t="shared" ca="1" si="3"/>
        <v>0.25477912370609124</v>
      </c>
      <c r="F34" s="5">
        <f t="shared" ca="1" si="4"/>
        <v>1</v>
      </c>
      <c r="G34" s="5">
        <f t="shared" ca="1" si="5"/>
        <v>3</v>
      </c>
      <c r="H34" s="13">
        <f t="shared" ca="1" si="6"/>
        <v>0</v>
      </c>
      <c r="I34" s="5">
        <f t="shared" ca="1" si="7"/>
        <v>1</v>
      </c>
    </row>
    <row r="35" spans="1:9" x14ac:dyDescent="0.25">
      <c r="A35" s="5">
        <v>31</v>
      </c>
      <c r="B35" s="5">
        <f t="shared" ca="1" si="0"/>
        <v>1</v>
      </c>
      <c r="C35" s="5">
        <f t="shared" ca="1" si="1"/>
        <v>0</v>
      </c>
      <c r="D35" s="5">
        <f t="shared" ca="1" si="2"/>
        <v>0</v>
      </c>
      <c r="E35" s="6">
        <f t="shared" ca="1" si="3"/>
        <v>0.33279491077760537</v>
      </c>
      <c r="F35" s="5">
        <f t="shared" ca="1" si="4"/>
        <v>1</v>
      </c>
      <c r="G35" s="5">
        <f t="shared" ca="1" si="5"/>
        <v>3</v>
      </c>
      <c r="H35" s="13">
        <f t="shared" ca="1" si="6"/>
        <v>0</v>
      </c>
      <c r="I35" s="5">
        <f t="shared" ca="1" si="7"/>
        <v>1</v>
      </c>
    </row>
    <row r="36" spans="1:9" x14ac:dyDescent="0.25">
      <c r="A36" s="5">
        <v>32</v>
      </c>
      <c r="B36" s="5">
        <f t="shared" ca="1" si="0"/>
        <v>0</v>
      </c>
      <c r="C36" s="5">
        <f t="shared" ca="1" si="1"/>
        <v>0</v>
      </c>
      <c r="D36" s="5">
        <f t="shared" ca="1" si="2"/>
        <v>1</v>
      </c>
      <c r="E36" s="6">
        <f t="shared" ca="1" si="3"/>
        <v>0.70261433334081502</v>
      </c>
      <c r="F36" s="5">
        <f t="shared" ca="1" si="4"/>
        <v>0</v>
      </c>
      <c r="G36" s="5">
        <f t="shared" ca="1" si="5"/>
        <v>3</v>
      </c>
      <c r="H36" s="13">
        <f t="shared" ca="1" si="6"/>
        <v>1</v>
      </c>
      <c r="I36" s="5">
        <f t="shared" ca="1" si="7"/>
        <v>0</v>
      </c>
    </row>
    <row r="37" spans="1:9" x14ac:dyDescent="0.25">
      <c r="A37" s="5">
        <v>33</v>
      </c>
      <c r="B37" s="5">
        <f t="shared" ca="1" si="0"/>
        <v>1</v>
      </c>
      <c r="C37" s="5">
        <f t="shared" ca="1" si="1"/>
        <v>0</v>
      </c>
      <c r="D37" s="5">
        <f t="shared" ca="1" si="2"/>
        <v>0</v>
      </c>
      <c r="E37" s="6">
        <f t="shared" ca="1" si="3"/>
        <v>0.17211261866971339</v>
      </c>
      <c r="F37" s="5">
        <f t="shared" ca="1" si="4"/>
        <v>1</v>
      </c>
      <c r="G37" s="5">
        <f t="shared" ca="1" si="5"/>
        <v>3</v>
      </c>
      <c r="H37" s="13">
        <f t="shared" ca="1" si="6"/>
        <v>0</v>
      </c>
      <c r="I37" s="5">
        <f t="shared" ca="1" si="7"/>
        <v>1</v>
      </c>
    </row>
    <row r="38" spans="1:9" x14ac:dyDescent="0.25">
      <c r="A38" s="5">
        <v>34</v>
      </c>
      <c r="B38" s="5">
        <f t="shared" ca="1" si="0"/>
        <v>1</v>
      </c>
      <c r="C38" s="5">
        <f t="shared" ca="1" si="1"/>
        <v>0</v>
      </c>
      <c r="D38" s="5">
        <f t="shared" ca="1" si="2"/>
        <v>0</v>
      </c>
      <c r="E38" s="6">
        <f t="shared" ca="1" si="3"/>
        <v>0.18338105006747074</v>
      </c>
      <c r="F38" s="5">
        <f t="shared" ca="1" si="4"/>
        <v>1</v>
      </c>
      <c r="G38" s="5">
        <f t="shared" ca="1" si="5"/>
        <v>3</v>
      </c>
      <c r="H38" s="13">
        <f t="shared" ca="1" si="6"/>
        <v>0</v>
      </c>
      <c r="I38" s="5">
        <f t="shared" ca="1" si="7"/>
        <v>1</v>
      </c>
    </row>
    <row r="39" spans="1:9" x14ac:dyDescent="0.25">
      <c r="A39" s="5">
        <v>35</v>
      </c>
      <c r="B39" s="5">
        <f t="shared" ca="1" si="0"/>
        <v>1</v>
      </c>
      <c r="C39" s="5">
        <f t="shared" ca="1" si="1"/>
        <v>0</v>
      </c>
      <c r="D39" s="5">
        <f t="shared" ca="1" si="2"/>
        <v>0</v>
      </c>
      <c r="E39" s="6">
        <f t="shared" ca="1" si="3"/>
        <v>0.23409949454023127</v>
      </c>
      <c r="F39" s="5">
        <f t="shared" ca="1" si="4"/>
        <v>1</v>
      </c>
      <c r="G39" s="5">
        <f t="shared" ca="1" si="5"/>
        <v>3</v>
      </c>
      <c r="H39" s="13">
        <f t="shared" ca="1" si="6"/>
        <v>0</v>
      </c>
      <c r="I39" s="5">
        <f t="shared" ca="1" si="7"/>
        <v>1</v>
      </c>
    </row>
    <row r="40" spans="1:9" x14ac:dyDescent="0.25">
      <c r="A40" s="5">
        <v>36</v>
      </c>
      <c r="B40" s="5">
        <f t="shared" ca="1" si="0"/>
        <v>0</v>
      </c>
      <c r="C40" s="5">
        <f t="shared" ca="1" si="1"/>
        <v>0</v>
      </c>
      <c r="D40" s="5">
        <f t="shared" ca="1" si="2"/>
        <v>1</v>
      </c>
      <c r="E40" s="6">
        <f t="shared" ca="1" si="3"/>
        <v>0.93487762073566483</v>
      </c>
      <c r="F40" s="5">
        <f t="shared" ca="1" si="4"/>
        <v>0</v>
      </c>
      <c r="G40" s="5">
        <f t="shared" ca="1" si="5"/>
        <v>3</v>
      </c>
      <c r="H40" s="13">
        <f t="shared" ca="1" si="6"/>
        <v>1</v>
      </c>
      <c r="I40" s="5">
        <f t="shared" ca="1" si="7"/>
        <v>0</v>
      </c>
    </row>
    <row r="41" spans="1:9" x14ac:dyDescent="0.25">
      <c r="A41" s="5">
        <v>37</v>
      </c>
      <c r="B41" s="5">
        <f t="shared" ca="1" si="0"/>
        <v>0</v>
      </c>
      <c r="C41" s="5">
        <f t="shared" ca="1" si="1"/>
        <v>1</v>
      </c>
      <c r="D41" s="5">
        <f t="shared" ca="1" si="2"/>
        <v>0</v>
      </c>
      <c r="E41" s="6">
        <f t="shared" ca="1" si="3"/>
        <v>0.34104333883943805</v>
      </c>
      <c r="F41" s="5">
        <f t="shared" ca="1" si="4"/>
        <v>0</v>
      </c>
      <c r="G41" s="5">
        <f t="shared" ca="1" si="5"/>
        <v>2</v>
      </c>
      <c r="H41" s="13">
        <f t="shared" ca="1" si="6"/>
        <v>1</v>
      </c>
      <c r="I41" s="5">
        <f t="shared" ca="1" si="7"/>
        <v>0</v>
      </c>
    </row>
    <row r="42" spans="1:9" x14ac:dyDescent="0.25">
      <c r="A42" s="5">
        <v>38</v>
      </c>
      <c r="B42" s="5">
        <f t="shared" ca="1" si="0"/>
        <v>0</v>
      </c>
      <c r="C42" s="5">
        <f t="shared" ca="1" si="1"/>
        <v>0</v>
      </c>
      <c r="D42" s="5">
        <f t="shared" ca="1" si="2"/>
        <v>1</v>
      </c>
      <c r="E42" s="6">
        <f t="shared" ca="1" si="3"/>
        <v>0.87401754767503126</v>
      </c>
      <c r="F42" s="5">
        <f t="shared" ca="1" si="4"/>
        <v>0</v>
      </c>
      <c r="G42" s="5">
        <f t="shared" ca="1" si="5"/>
        <v>3</v>
      </c>
      <c r="H42" s="13">
        <f t="shared" ca="1" si="6"/>
        <v>1</v>
      </c>
      <c r="I42" s="5">
        <f t="shared" ca="1" si="7"/>
        <v>0</v>
      </c>
    </row>
    <row r="43" spans="1:9" x14ac:dyDescent="0.25">
      <c r="A43" s="5">
        <v>39</v>
      </c>
      <c r="B43" s="5">
        <f t="shared" ca="1" si="0"/>
        <v>0</v>
      </c>
      <c r="C43" s="5">
        <f t="shared" ca="1" si="1"/>
        <v>0</v>
      </c>
      <c r="D43" s="5">
        <f t="shared" ca="1" si="2"/>
        <v>1</v>
      </c>
      <c r="E43" s="6">
        <f t="shared" ca="1" si="3"/>
        <v>0.71731848655547814</v>
      </c>
      <c r="F43" s="5">
        <f t="shared" ca="1" si="4"/>
        <v>0</v>
      </c>
      <c r="G43" s="5">
        <f t="shared" ca="1" si="5"/>
        <v>3</v>
      </c>
      <c r="H43" s="13">
        <f t="shared" ca="1" si="6"/>
        <v>1</v>
      </c>
      <c r="I43" s="5">
        <f t="shared" ca="1" si="7"/>
        <v>0</v>
      </c>
    </row>
    <row r="44" spans="1:9" x14ac:dyDescent="0.25">
      <c r="A44" s="5">
        <v>40</v>
      </c>
      <c r="B44" s="5">
        <f t="shared" ca="1" si="0"/>
        <v>0</v>
      </c>
      <c r="C44" s="5">
        <f t="shared" ca="1" si="1"/>
        <v>1</v>
      </c>
      <c r="D44" s="5">
        <f t="shared" ca="1" si="2"/>
        <v>0</v>
      </c>
      <c r="E44" s="6">
        <f t="shared" ca="1" si="3"/>
        <v>0.34854206268938726</v>
      </c>
      <c r="F44" s="5">
        <f t="shared" ca="1" si="4"/>
        <v>0</v>
      </c>
      <c r="G44" s="5">
        <f t="shared" ca="1" si="5"/>
        <v>2</v>
      </c>
      <c r="H44" s="13">
        <f t="shared" ca="1" si="6"/>
        <v>1</v>
      </c>
      <c r="I44" s="5">
        <f t="shared" ca="1" si="7"/>
        <v>0</v>
      </c>
    </row>
    <row r="45" spans="1:9" x14ac:dyDescent="0.25">
      <c r="A45" s="5">
        <v>41</v>
      </c>
      <c r="B45" s="5">
        <f t="shared" ca="1" si="0"/>
        <v>0</v>
      </c>
      <c r="C45" s="5">
        <f t="shared" ca="1" si="1"/>
        <v>0</v>
      </c>
      <c r="D45" s="5">
        <f t="shared" ca="1" si="2"/>
        <v>1</v>
      </c>
      <c r="E45" s="6">
        <f t="shared" ca="1" si="3"/>
        <v>0.92006813504898266</v>
      </c>
      <c r="F45" s="5">
        <f t="shared" ca="1" si="4"/>
        <v>0</v>
      </c>
      <c r="G45" s="5">
        <f t="shared" ca="1" si="5"/>
        <v>3</v>
      </c>
      <c r="H45" s="13">
        <f t="shared" ca="1" si="6"/>
        <v>1</v>
      </c>
      <c r="I45" s="5">
        <f t="shared" ca="1" si="7"/>
        <v>0</v>
      </c>
    </row>
    <row r="46" spans="1:9" x14ac:dyDescent="0.25">
      <c r="A46" s="5">
        <v>42</v>
      </c>
      <c r="B46" s="5">
        <f t="shared" ca="1" si="0"/>
        <v>0</v>
      </c>
      <c r="C46" s="5">
        <f t="shared" ca="1" si="1"/>
        <v>0</v>
      </c>
      <c r="D46" s="5">
        <f t="shared" ca="1" si="2"/>
        <v>1</v>
      </c>
      <c r="E46" s="6">
        <f t="shared" ca="1" si="3"/>
        <v>0.87847853405229182</v>
      </c>
      <c r="F46" s="5">
        <f t="shared" ca="1" si="4"/>
        <v>0</v>
      </c>
      <c r="G46" s="5">
        <f t="shared" ca="1" si="5"/>
        <v>3</v>
      </c>
      <c r="H46" s="13">
        <f t="shared" ca="1" si="6"/>
        <v>1</v>
      </c>
      <c r="I46" s="5">
        <f t="shared" ca="1" si="7"/>
        <v>0</v>
      </c>
    </row>
    <row r="47" spans="1:9" x14ac:dyDescent="0.25">
      <c r="A47" s="5">
        <v>43</v>
      </c>
      <c r="B47" s="5">
        <f t="shared" ca="1" si="0"/>
        <v>0</v>
      </c>
      <c r="C47" s="5">
        <f t="shared" ca="1" si="1"/>
        <v>1</v>
      </c>
      <c r="D47" s="5">
        <f t="shared" ca="1" si="2"/>
        <v>0</v>
      </c>
      <c r="E47" s="6">
        <f t="shared" ca="1" si="3"/>
        <v>0.62754919849594004</v>
      </c>
      <c r="F47" s="5">
        <f t="shared" ca="1" si="4"/>
        <v>0</v>
      </c>
      <c r="G47" s="5">
        <f t="shared" ca="1" si="5"/>
        <v>2</v>
      </c>
      <c r="H47" s="13">
        <f t="shared" ca="1" si="6"/>
        <v>1</v>
      </c>
      <c r="I47" s="5">
        <f t="shared" ca="1" si="7"/>
        <v>0</v>
      </c>
    </row>
    <row r="48" spans="1:9" x14ac:dyDescent="0.25">
      <c r="A48" s="5">
        <v>44</v>
      </c>
      <c r="B48" s="5">
        <f t="shared" ca="1" si="0"/>
        <v>0</v>
      </c>
      <c r="C48" s="5">
        <f t="shared" ca="1" si="1"/>
        <v>1</v>
      </c>
      <c r="D48" s="5">
        <f t="shared" ca="1" si="2"/>
        <v>0</v>
      </c>
      <c r="E48" s="6">
        <f t="shared" ca="1" si="3"/>
        <v>0.34631551941157568</v>
      </c>
      <c r="F48" s="5">
        <f t="shared" ca="1" si="4"/>
        <v>0</v>
      </c>
      <c r="G48" s="5">
        <f t="shared" ca="1" si="5"/>
        <v>2</v>
      </c>
      <c r="H48" s="13">
        <f ca="1">C48+D48</f>
        <v>1</v>
      </c>
      <c r="I48" s="5">
        <f t="shared" ca="1" si="7"/>
        <v>0</v>
      </c>
    </row>
    <row r="49" spans="1:9" x14ac:dyDescent="0.25">
      <c r="A49" s="5">
        <v>45</v>
      </c>
      <c r="B49" s="5">
        <f t="shared" ca="1" si="0"/>
        <v>0</v>
      </c>
      <c r="C49" s="5">
        <f t="shared" ca="1" si="1"/>
        <v>1</v>
      </c>
      <c r="D49" s="5">
        <f t="shared" ca="1" si="2"/>
        <v>0</v>
      </c>
      <c r="E49" s="6">
        <f t="shared" ca="1" si="3"/>
        <v>0.38763177401814941</v>
      </c>
      <c r="F49" s="5">
        <f t="shared" ca="1" si="4"/>
        <v>0</v>
      </c>
      <c r="G49" s="5">
        <f t="shared" ca="1" si="5"/>
        <v>2</v>
      </c>
      <c r="H49" s="13">
        <f t="shared" ca="1" si="6"/>
        <v>1</v>
      </c>
      <c r="I49" s="5">
        <f t="shared" ca="1" si="7"/>
        <v>0</v>
      </c>
    </row>
    <row r="50" spans="1:9" x14ac:dyDescent="0.25">
      <c r="A50" s="5">
        <v>46</v>
      </c>
      <c r="B50" s="5">
        <f t="shared" ca="1" si="0"/>
        <v>0</v>
      </c>
      <c r="C50" s="5">
        <f t="shared" ca="1" si="1"/>
        <v>1</v>
      </c>
      <c r="D50" s="5">
        <f t="shared" ca="1" si="2"/>
        <v>0</v>
      </c>
      <c r="E50" s="6">
        <f t="shared" ca="1" si="3"/>
        <v>0.41725417608168813</v>
      </c>
      <c r="F50" s="5">
        <f t="shared" ca="1" si="4"/>
        <v>0</v>
      </c>
      <c r="G50" s="5">
        <f t="shared" ca="1" si="5"/>
        <v>2</v>
      </c>
      <c r="H50" s="13">
        <f t="shared" ca="1" si="6"/>
        <v>1</v>
      </c>
      <c r="I50" s="5">
        <f t="shared" ca="1" si="7"/>
        <v>0</v>
      </c>
    </row>
    <row r="51" spans="1:9" x14ac:dyDescent="0.25">
      <c r="A51" s="5">
        <v>47</v>
      </c>
      <c r="B51" s="5">
        <f t="shared" ca="1" si="0"/>
        <v>0</v>
      </c>
      <c r="C51" s="5">
        <f t="shared" ca="1" si="1"/>
        <v>0</v>
      </c>
      <c r="D51" s="5">
        <f t="shared" ca="1" si="2"/>
        <v>1</v>
      </c>
      <c r="E51" s="6">
        <f t="shared" ca="1" si="3"/>
        <v>0.71804037138508325</v>
      </c>
      <c r="F51" s="5">
        <f t="shared" ca="1" si="4"/>
        <v>0</v>
      </c>
      <c r="G51" s="5">
        <f t="shared" ca="1" si="5"/>
        <v>3</v>
      </c>
      <c r="H51" s="13">
        <f t="shared" ca="1" si="6"/>
        <v>1</v>
      </c>
      <c r="I51" s="5">
        <f t="shared" ca="1" si="7"/>
        <v>0</v>
      </c>
    </row>
    <row r="52" spans="1:9" x14ac:dyDescent="0.25">
      <c r="A52" s="5">
        <v>48</v>
      </c>
      <c r="B52" s="5">
        <f t="shared" ca="1" si="0"/>
        <v>0</v>
      </c>
      <c r="C52" s="5">
        <f t="shared" ca="1" si="1"/>
        <v>1</v>
      </c>
      <c r="D52" s="5">
        <f t="shared" ca="1" si="2"/>
        <v>0</v>
      </c>
      <c r="E52" s="6">
        <f t="shared" ca="1" si="3"/>
        <v>0.64727499652981835</v>
      </c>
      <c r="F52" s="5">
        <f t="shared" ca="1" si="4"/>
        <v>0</v>
      </c>
      <c r="G52" s="5">
        <f t="shared" ca="1" si="5"/>
        <v>2</v>
      </c>
      <c r="H52" s="13">
        <f t="shared" ca="1" si="6"/>
        <v>1</v>
      </c>
      <c r="I52" s="5">
        <f t="shared" ca="1" si="7"/>
        <v>0</v>
      </c>
    </row>
    <row r="53" spans="1:9" x14ac:dyDescent="0.25">
      <c r="A53" s="5">
        <v>49</v>
      </c>
      <c r="B53" s="5">
        <f t="shared" ca="1" si="0"/>
        <v>0</v>
      </c>
      <c r="C53" s="5">
        <f t="shared" ca="1" si="1"/>
        <v>0</v>
      </c>
      <c r="D53" s="5">
        <f t="shared" ca="1" si="2"/>
        <v>1</v>
      </c>
      <c r="E53" s="6">
        <f t="shared" ca="1" si="3"/>
        <v>0.69945579014887826</v>
      </c>
      <c r="F53" s="5">
        <f t="shared" ca="1" si="4"/>
        <v>0</v>
      </c>
      <c r="G53" s="5">
        <f t="shared" ca="1" si="5"/>
        <v>3</v>
      </c>
      <c r="H53" s="13">
        <f t="shared" ca="1" si="6"/>
        <v>1</v>
      </c>
      <c r="I53" s="5">
        <f t="shared" ca="1" si="7"/>
        <v>0</v>
      </c>
    </row>
    <row r="54" spans="1:9" x14ac:dyDescent="0.25">
      <c r="A54" s="5">
        <v>50</v>
      </c>
      <c r="B54" s="5">
        <f t="shared" ca="1" si="0"/>
        <v>0</v>
      </c>
      <c r="C54" s="5">
        <f t="shared" ca="1" si="1"/>
        <v>1</v>
      </c>
      <c r="D54" s="5">
        <f t="shared" ca="1" si="2"/>
        <v>0</v>
      </c>
      <c r="E54" s="6">
        <f t="shared" ca="1" si="3"/>
        <v>0.58224278378205574</v>
      </c>
      <c r="F54" s="5">
        <f t="shared" ca="1" si="4"/>
        <v>0</v>
      </c>
      <c r="G54" s="5">
        <f t="shared" ca="1" si="5"/>
        <v>2</v>
      </c>
      <c r="H54" s="13">
        <f t="shared" ca="1" si="6"/>
        <v>1</v>
      </c>
      <c r="I54" s="5">
        <f t="shared" ca="1" si="7"/>
        <v>0</v>
      </c>
    </row>
    <row r="55" spans="1:9" x14ac:dyDescent="0.25">
      <c r="A55" s="5"/>
      <c r="F55" s="7">
        <f ca="1">SUM(F5:F54)</f>
        <v>12</v>
      </c>
      <c r="H55" s="7">
        <f t="shared" ref="H55:I55" ca="1" si="10">SUM(H5:H54)</f>
        <v>38</v>
      </c>
      <c r="I55" s="7">
        <f t="shared" ca="1" si="10"/>
        <v>12</v>
      </c>
    </row>
    <row r="56" spans="1:9" x14ac:dyDescent="0.25">
      <c r="A56" s="5"/>
    </row>
    <row r="57" spans="1:9" x14ac:dyDescent="0.25">
      <c r="A57" s="5"/>
    </row>
    <row r="58" spans="1:9" x14ac:dyDescent="0.25">
      <c r="A58" s="5"/>
    </row>
    <row r="59" spans="1:9" x14ac:dyDescent="0.25">
      <c r="A59" s="5"/>
    </row>
    <row r="60" spans="1:9" x14ac:dyDescent="0.25">
      <c r="A60" s="5"/>
    </row>
    <row r="61" spans="1:9" x14ac:dyDescent="0.25">
      <c r="A61" s="5"/>
    </row>
  </sheetData>
  <mergeCells count="1">
    <mergeCell ref="K25:V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Задание-Казино</vt:lpstr>
      <vt:lpstr>ИГРА-1</vt:lpstr>
      <vt:lpstr>ИГРА-2-1</vt:lpstr>
      <vt:lpstr>ИГРА-2-2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2026-09-20T12:19:15Z</dcterms:modified>
</cp:coreProperties>
</file>