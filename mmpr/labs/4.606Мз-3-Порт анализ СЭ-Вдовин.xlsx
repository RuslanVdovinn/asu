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lan\Downloads\"/>
    </mc:Choice>
  </mc:AlternateContent>
  <xr:revisionPtr revIDLastSave="0" documentId="13_ncr:1_{908FC96A-19F2-4E2A-A783-4C0180F7082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МОДЕЛЬ  Марковица" sheetId="4" r:id="rId1"/>
    <sheet name="СТАБИЛЬНАЯ ЭКОНОМИКА" sheetId="3" r:id="rId2"/>
    <sheet name="Методы оптимизации" sheetId="6" r:id="rId3"/>
    <sheet name="Пример ТЗЛП" sheetId="7" r:id="rId4"/>
  </sheets>
  <definedNames>
    <definedName name="solver_adj" localSheetId="3" hidden="1">'Пример ТЗЛП'!$B$15:$K$34</definedName>
    <definedName name="solver_adj" localSheetId="1" hidden="1">'СТАБИЛЬНАЯ ЭКОНОМИКА'!$A$46:$E$46</definedName>
    <definedName name="solver_cvg" localSheetId="3" hidden="1">0.0001</definedName>
    <definedName name="solver_cvg" localSheetId="1" hidden="1">0.0001</definedName>
    <definedName name="solver_drv" localSheetId="3" hidden="1">2</definedName>
    <definedName name="solver_drv" localSheetId="1" hidden="1">1</definedName>
    <definedName name="solver_eng" localSheetId="2" hidden="1">1</definedName>
    <definedName name="solver_eng" localSheetId="3" hidden="1">3</definedName>
    <definedName name="solver_eng" localSheetId="1" hidden="1">1</definedName>
    <definedName name="solver_est" localSheetId="3" hidden="1">1</definedName>
    <definedName name="solver_est" localSheetId="1" hidden="1">1</definedName>
    <definedName name="solver_itr" localSheetId="3" hidden="1">2147483647</definedName>
    <definedName name="solver_itr" localSheetId="1" hidden="1">100</definedName>
    <definedName name="solver_lhs1" localSheetId="3" hidden="1">'Пример ТЗЛП'!$B$35:$K$35</definedName>
    <definedName name="solver_lhs1" localSheetId="1" hidden="1">'СТАБИЛЬНАЯ ЭКОНОМИКА'!$F$46</definedName>
    <definedName name="solver_lhs2" localSheetId="3" hidden="1">'Пример ТЗЛП'!$L$15:$L$34</definedName>
    <definedName name="solver_lhs2" localSheetId="1" hidden="1">'СТАБИЛЬНАЯ ЭКОНОМИКА'!$F$48</definedName>
    <definedName name="solver_lhs3" localSheetId="1" hidden="1">'СТАБИЛЬНАЯ ЭКОНОМИКА'!$F$48</definedName>
    <definedName name="solver_lin" localSheetId="1" hidden="1">2</definedName>
    <definedName name="solver_mip" localSheetId="3" hidden="1">2147483647</definedName>
    <definedName name="solver_mip" localSheetId="1" hidden="1">2147483647</definedName>
    <definedName name="solver_mni" localSheetId="3" hidden="1">30</definedName>
    <definedName name="solver_mni" localSheetId="1" hidden="1">30</definedName>
    <definedName name="solver_mrt" localSheetId="3" hidden="1">0.075</definedName>
    <definedName name="solver_mrt" localSheetId="1" hidden="1">0.075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3" hidden="1">2147483647</definedName>
    <definedName name="solver_nod" localSheetId="1" hidden="1">2147483647</definedName>
    <definedName name="solver_num" localSheetId="2" hidden="1">0</definedName>
    <definedName name="solver_num" localSheetId="3" hidden="1">2</definedName>
    <definedName name="solver_num" localSheetId="1" hidden="1">2</definedName>
    <definedName name="solver_nwt" localSheetId="3" hidden="1">1</definedName>
    <definedName name="solver_nwt" localSheetId="1" hidden="1">1</definedName>
    <definedName name="solver_opt" localSheetId="2" hidden="1">'Методы оптимизации'!#REF!</definedName>
    <definedName name="solver_opt" localSheetId="3" hidden="1">'Пример ТЗЛП'!$N$11</definedName>
    <definedName name="solver_opt" localSheetId="1" hidden="1">'СТАБИЛЬНАЯ ЭКОНОМИКА'!$F$50</definedName>
    <definedName name="solver_pre" localSheetId="3" hidden="1">0.000001</definedName>
    <definedName name="solver_pre" localSheetId="1" hidden="1">0.000001</definedName>
    <definedName name="solver_rbv" localSheetId="3" hidden="1">2</definedName>
    <definedName name="solver_rbv" localSheetId="1" hidden="1">1</definedName>
    <definedName name="solver_rel1" localSheetId="3" hidden="1">2</definedName>
    <definedName name="solver_rel1" localSheetId="1" hidden="1">2</definedName>
    <definedName name="solver_rel2" localSheetId="3" hidden="1">2</definedName>
    <definedName name="solver_rel2" localSheetId="1" hidden="1">3</definedName>
    <definedName name="solver_rel3" localSheetId="1" hidden="1">3</definedName>
    <definedName name="solver_rhs1" localSheetId="3" hidden="1">'Пример ТЗЛП'!$B$37:$K$37</definedName>
    <definedName name="solver_rhs1" localSheetId="1" hidden="1">'СТАБИЛЬНАЯ ЭКОНОМИКА'!$G$46</definedName>
    <definedName name="solver_rhs2" localSheetId="3" hidden="1">'Пример ТЗЛП'!$N$15:$N$34</definedName>
    <definedName name="solver_rhs2" localSheetId="1" hidden="1">'СТАБИЛЬНАЯ ЭКОНОМИКА'!$G$48</definedName>
    <definedName name="solver_rhs3" localSheetId="1" hidden="1">'СТАБИЛЬНАЯ ЭКОНОМИКА'!$G$48</definedName>
    <definedName name="solver_rlx" localSheetId="3" hidden="1">2</definedName>
    <definedName name="solver_rlx" localSheetId="1" hidden="1">1</definedName>
    <definedName name="solver_rsd" localSheetId="3" hidden="1">0</definedName>
    <definedName name="solver_rsd" localSheetId="1" hidden="1">0</definedName>
    <definedName name="solver_scl" localSheetId="3" hidden="1">2</definedName>
    <definedName name="solver_scl" localSheetId="1" hidden="1">2</definedName>
    <definedName name="solver_sho" localSheetId="3" hidden="1">2</definedName>
    <definedName name="solver_sho" localSheetId="1" hidden="1">2</definedName>
    <definedName name="solver_ssz" localSheetId="3" hidden="1">100</definedName>
    <definedName name="solver_ssz" localSheetId="1" hidden="1">100</definedName>
    <definedName name="solver_tim" localSheetId="3" hidden="1">2147483647</definedName>
    <definedName name="solver_tim" localSheetId="1" hidden="1">100</definedName>
    <definedName name="solver_tol" localSheetId="3" hidden="1">0.01</definedName>
    <definedName name="solver_tol" localSheetId="1" hidden="1">0.05</definedName>
    <definedName name="solver_typ" localSheetId="2" hidden="1">1</definedName>
    <definedName name="solver_typ" localSheetId="3" hidden="1">2</definedName>
    <definedName name="solver_typ" localSheetId="1" hidden="1">2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7" l="1"/>
  <c r="J71" i="3"/>
  <c r="J70" i="3"/>
  <c r="J69" i="3"/>
  <c r="M68" i="3"/>
  <c r="L68" i="3"/>
  <c r="K68" i="3"/>
  <c r="J68" i="3"/>
  <c r="I68" i="3"/>
  <c r="N11" i="7"/>
  <c r="B76" i="7"/>
  <c r="C76" i="7"/>
  <c r="D76" i="7"/>
  <c r="E76" i="7"/>
  <c r="F76" i="7"/>
  <c r="G76" i="7"/>
  <c r="H76" i="7"/>
  <c r="I76" i="7"/>
  <c r="J76" i="7"/>
  <c r="K76" i="7"/>
  <c r="B77" i="7"/>
  <c r="C77" i="7"/>
  <c r="D77" i="7"/>
  <c r="E77" i="7"/>
  <c r="F77" i="7"/>
  <c r="G77" i="7"/>
  <c r="H77" i="7"/>
  <c r="I77" i="7"/>
  <c r="J77" i="7"/>
  <c r="K77" i="7"/>
  <c r="B78" i="7"/>
  <c r="C78" i="7"/>
  <c r="D78" i="7"/>
  <c r="E78" i="7"/>
  <c r="F78" i="7"/>
  <c r="G78" i="7"/>
  <c r="H78" i="7"/>
  <c r="I78" i="7"/>
  <c r="J78" i="7"/>
  <c r="K78" i="7"/>
  <c r="B79" i="7"/>
  <c r="C79" i="7"/>
  <c r="D79" i="7"/>
  <c r="E79" i="7"/>
  <c r="F79" i="7"/>
  <c r="G79" i="7"/>
  <c r="H79" i="7"/>
  <c r="I79" i="7"/>
  <c r="J79" i="7"/>
  <c r="K79" i="7"/>
  <c r="B80" i="7"/>
  <c r="C80" i="7"/>
  <c r="D80" i="7"/>
  <c r="E80" i="7"/>
  <c r="F80" i="7"/>
  <c r="G80" i="7"/>
  <c r="H80" i="7"/>
  <c r="I80" i="7"/>
  <c r="J80" i="7"/>
  <c r="K80" i="7"/>
  <c r="B81" i="7"/>
  <c r="C81" i="7"/>
  <c r="D81" i="7"/>
  <c r="E81" i="7"/>
  <c r="F81" i="7"/>
  <c r="G81" i="7"/>
  <c r="H81" i="7"/>
  <c r="I81" i="7"/>
  <c r="J81" i="7"/>
  <c r="K81" i="7"/>
  <c r="B82" i="7"/>
  <c r="C82" i="7"/>
  <c r="D82" i="7"/>
  <c r="E82" i="7"/>
  <c r="F82" i="7"/>
  <c r="G82" i="7"/>
  <c r="H82" i="7"/>
  <c r="I82" i="7"/>
  <c r="J82" i="7"/>
  <c r="K82" i="7"/>
  <c r="B83" i="7"/>
  <c r="C83" i="7"/>
  <c r="D83" i="7"/>
  <c r="E83" i="7"/>
  <c r="F83" i="7"/>
  <c r="G83" i="7"/>
  <c r="H83" i="7"/>
  <c r="I83" i="7"/>
  <c r="J83" i="7"/>
  <c r="K83" i="7"/>
  <c r="B65" i="7"/>
  <c r="C65" i="7"/>
  <c r="D65" i="7"/>
  <c r="E65" i="7"/>
  <c r="F65" i="7"/>
  <c r="G65" i="7"/>
  <c r="H65" i="7"/>
  <c r="I65" i="7"/>
  <c r="J65" i="7"/>
  <c r="K65" i="7"/>
  <c r="B66" i="7"/>
  <c r="C66" i="7"/>
  <c r="D66" i="7"/>
  <c r="E66" i="7"/>
  <c r="F66" i="7"/>
  <c r="G66" i="7"/>
  <c r="H66" i="7"/>
  <c r="I66" i="7"/>
  <c r="J66" i="7"/>
  <c r="K66" i="7"/>
  <c r="B67" i="7"/>
  <c r="C67" i="7"/>
  <c r="D67" i="7"/>
  <c r="E67" i="7"/>
  <c r="F67" i="7"/>
  <c r="G67" i="7"/>
  <c r="H67" i="7"/>
  <c r="I67" i="7"/>
  <c r="J67" i="7"/>
  <c r="K67" i="7"/>
  <c r="B68" i="7"/>
  <c r="C68" i="7"/>
  <c r="D68" i="7"/>
  <c r="E68" i="7"/>
  <c r="F68" i="7"/>
  <c r="G68" i="7"/>
  <c r="H68" i="7"/>
  <c r="I68" i="7"/>
  <c r="J68" i="7"/>
  <c r="K68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2" i="7"/>
  <c r="C72" i="7"/>
  <c r="D72" i="7"/>
  <c r="E72" i="7"/>
  <c r="F72" i="7"/>
  <c r="G72" i="7"/>
  <c r="H72" i="7"/>
  <c r="I72" i="7"/>
  <c r="J72" i="7"/>
  <c r="K72" i="7"/>
  <c r="B73" i="7"/>
  <c r="C73" i="7"/>
  <c r="D73" i="7"/>
  <c r="E73" i="7"/>
  <c r="F73" i="7"/>
  <c r="G73" i="7"/>
  <c r="H73" i="7"/>
  <c r="I73" i="7"/>
  <c r="J73" i="7"/>
  <c r="K73" i="7"/>
  <c r="B74" i="7"/>
  <c r="C74" i="7"/>
  <c r="D74" i="7"/>
  <c r="E74" i="7"/>
  <c r="F74" i="7"/>
  <c r="G74" i="7"/>
  <c r="H74" i="7"/>
  <c r="I74" i="7"/>
  <c r="J74" i="7"/>
  <c r="K74" i="7"/>
  <c r="B75" i="7"/>
  <c r="C75" i="7"/>
  <c r="D75" i="7"/>
  <c r="E75" i="7"/>
  <c r="F75" i="7"/>
  <c r="G75" i="7"/>
  <c r="H75" i="7"/>
  <c r="I75" i="7"/>
  <c r="J75" i="7"/>
  <c r="K75" i="7"/>
  <c r="C64" i="7"/>
  <c r="D64" i="7"/>
  <c r="E64" i="7"/>
  <c r="F64" i="7"/>
  <c r="G64" i="7"/>
  <c r="H64" i="7"/>
  <c r="I64" i="7"/>
  <c r="J64" i="7"/>
  <c r="K64" i="7"/>
  <c r="B64" i="7"/>
  <c r="L37" i="7"/>
  <c r="N35" i="7"/>
  <c r="K35" i="7"/>
  <c r="J35" i="7"/>
  <c r="I35" i="7"/>
  <c r="H35" i="7"/>
  <c r="G35" i="7"/>
  <c r="F35" i="7"/>
  <c r="E35" i="7"/>
  <c r="D35" i="7"/>
  <c r="C35" i="7"/>
  <c r="B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71" i="3"/>
  <c r="L70" i="3"/>
  <c r="L69" i="3"/>
  <c r="O70" i="3"/>
  <c r="O71" i="3"/>
  <c r="O69" i="3"/>
  <c r="N68" i="3"/>
  <c r="D21" i="3"/>
  <c r="C53" i="3" s="1"/>
  <c r="J67" i="3" s="1"/>
  <c r="E21" i="3"/>
  <c r="D53" i="3"/>
  <c r="K67" i="3" s="1"/>
  <c r="F21" i="3"/>
  <c r="E53" i="3"/>
  <c r="L67" i="3" s="1"/>
  <c r="G21" i="3"/>
  <c r="F53" i="3"/>
  <c r="M67" i="3"/>
  <c r="C21" i="3"/>
  <c r="B53" i="3" s="1"/>
  <c r="I67" i="3" s="1"/>
  <c r="J55" i="3"/>
  <c r="J56" i="3"/>
  <c r="J57" i="3"/>
  <c r="J58" i="3"/>
  <c r="J59" i="3"/>
  <c r="J60" i="3"/>
  <c r="J61" i="3"/>
  <c r="J62" i="3"/>
  <c r="J63" i="3"/>
  <c r="J54" i="3"/>
  <c r="I55" i="3"/>
  <c r="I56" i="3"/>
  <c r="I57" i="3"/>
  <c r="I58" i="3"/>
  <c r="I59" i="3"/>
  <c r="I60" i="3"/>
  <c r="I61" i="3"/>
  <c r="I62" i="3"/>
  <c r="I63" i="3"/>
  <c r="C18" i="3"/>
  <c r="C26" i="3" s="1"/>
  <c r="D18" i="3"/>
  <c r="D23" i="3" s="1"/>
  <c r="E18" i="3"/>
  <c r="E27" i="3" s="1"/>
  <c r="F18" i="3"/>
  <c r="F23" i="3" s="1"/>
  <c r="G18" i="3"/>
  <c r="G31" i="3" s="1"/>
  <c r="I54" i="3"/>
  <c r="F46" i="3"/>
  <c r="C24" i="3"/>
  <c r="G22" i="3"/>
  <c r="G29" i="3" l="1"/>
  <c r="F33" i="3"/>
  <c r="F31" i="3"/>
  <c r="F32" i="3"/>
  <c r="F22" i="3"/>
  <c r="F34" i="3" s="1"/>
  <c r="F26" i="3"/>
  <c r="F29" i="3"/>
  <c r="F24" i="3"/>
  <c r="F28" i="3"/>
  <c r="F30" i="3"/>
  <c r="F27" i="3"/>
  <c r="F25" i="3"/>
  <c r="E30" i="3"/>
  <c r="E32" i="3"/>
  <c r="E31" i="3"/>
  <c r="E33" i="3"/>
  <c r="E23" i="3"/>
  <c r="E25" i="3"/>
  <c r="E29" i="3"/>
  <c r="E26" i="3"/>
  <c r="E28" i="3"/>
  <c r="D30" i="3"/>
  <c r="D29" i="3"/>
  <c r="C22" i="3"/>
  <c r="C31" i="3"/>
  <c r="I26" i="3"/>
  <c r="C33" i="3"/>
  <c r="C29" i="3"/>
  <c r="C23" i="3"/>
  <c r="C28" i="3"/>
  <c r="C30" i="3"/>
  <c r="C27" i="3"/>
  <c r="C25" i="3"/>
  <c r="D31" i="3"/>
  <c r="G24" i="3"/>
  <c r="D26" i="3"/>
  <c r="D28" i="3"/>
  <c r="G27" i="3"/>
  <c r="F48" i="3"/>
  <c r="D33" i="3"/>
  <c r="G26" i="3"/>
  <c r="J26" i="3"/>
  <c r="D24" i="3"/>
  <c r="G25" i="3"/>
  <c r="G28" i="3"/>
  <c r="G23" i="3"/>
  <c r="E24" i="3"/>
  <c r="F38" i="3"/>
  <c r="D25" i="3"/>
  <c r="G30" i="3"/>
  <c r="D22" i="3"/>
  <c r="G33" i="3"/>
  <c r="D27" i="3"/>
  <c r="G32" i="3"/>
  <c r="E22" i="3"/>
  <c r="C32" i="3"/>
  <c r="D32" i="3"/>
  <c r="E42" i="3" l="1"/>
  <c r="E41" i="3"/>
  <c r="E38" i="3"/>
  <c r="C34" i="3"/>
  <c r="G34" i="3"/>
  <c r="J30" i="3"/>
  <c r="J33" i="3"/>
  <c r="J36" i="3"/>
  <c r="J35" i="3"/>
  <c r="J28" i="3"/>
  <c r="J34" i="3"/>
  <c r="J29" i="3"/>
  <c r="J27" i="3"/>
  <c r="J31" i="3"/>
  <c r="J32" i="3"/>
  <c r="D41" i="3"/>
  <c r="D39" i="3"/>
  <c r="D42" i="3"/>
  <c r="D38" i="3"/>
  <c r="E34" i="3"/>
  <c r="B40" i="3"/>
  <c r="D40" i="3"/>
  <c r="F40" i="3"/>
  <c r="E40" i="3"/>
  <c r="C38" i="3"/>
  <c r="C41" i="3"/>
  <c r="C42" i="3"/>
  <c r="E39" i="3"/>
  <c r="D34" i="3"/>
  <c r="C39" i="3"/>
  <c r="F39" i="3"/>
  <c r="C40" i="3"/>
  <c r="B39" i="3"/>
  <c r="F42" i="3"/>
  <c r="B42" i="3"/>
  <c r="B41" i="3"/>
  <c r="F41" i="3"/>
  <c r="B38" i="3"/>
  <c r="G39" i="3" l="1"/>
  <c r="G42" i="3"/>
  <c r="G38" i="3"/>
  <c r="G41" i="3"/>
  <c r="G40" i="3"/>
  <c r="F50" i="3" l="1"/>
  <c r="G50" i="3" s="1"/>
</calcChain>
</file>

<file path=xl/sharedStrings.xml><?xml version="1.0" encoding="utf-8"?>
<sst xmlns="http://schemas.openxmlformats.org/spreadsheetml/2006/main" count="220" uniqueCount="170">
  <si>
    <t>Варианты процентных ставок по финансовым инструментам</t>
  </si>
  <si>
    <t>№ Пер.</t>
  </si>
  <si>
    <t>Сред</t>
  </si>
  <si>
    <t>Вычисляем центрированную матрицу</t>
  </si>
  <si>
    <t>Вычисляем ковариционную матрицу</t>
  </si>
  <si>
    <t>Требуем</t>
  </si>
  <si>
    <t>Дисперсия</t>
  </si>
  <si>
    <t>%Низ</t>
  </si>
  <si>
    <t>МИН-Д</t>
  </si>
  <si>
    <t>МАХ-Д</t>
  </si>
  <si>
    <t>Расчет вариантов</t>
  </si>
  <si>
    <t>ПОРТФЕЛЬНЫЙ АНАЛИЗ. СТАБИЛЬНАЯ ЭКОНОМИКА</t>
  </si>
  <si>
    <t>№ квартала</t>
  </si>
  <si>
    <t>Копирование</t>
  </si>
  <si>
    <t>значений</t>
  </si>
  <si>
    <t>%Верх</t>
  </si>
  <si>
    <t>Таблица 1 СЭ</t>
  </si>
  <si>
    <t>t</t>
  </si>
  <si>
    <t>№ вар/ ИН</t>
  </si>
  <si>
    <t>Копировать значения  блока:</t>
  </si>
  <si>
    <t>J27:J36</t>
  </si>
  <si>
    <t>в блок</t>
  </si>
  <si>
    <t>К27:К36</t>
  </si>
  <si>
    <t>ИСПОЛЬЗОВАТЬ СПЕЦ ВСТАВКУ!</t>
  </si>
  <si>
    <t>Доходность %</t>
  </si>
  <si>
    <t>Риск</t>
  </si>
  <si>
    <t xml:space="preserve">В ячейку G48 копируем числа блока К27:К36 </t>
  </si>
  <si>
    <t xml:space="preserve">Результаты расчетов каждого варианта </t>
  </si>
  <si>
    <t>Инструментом EXCEL "ПОИСК РЕШЕНИЯ"</t>
  </si>
  <si>
    <t>Исследованные варианты инвестиционных портфелей</t>
  </si>
  <si>
    <t>Таблица 5 СЭ</t>
  </si>
  <si>
    <t>последовательно для каждого варианта  таблицы 5 СЭ</t>
  </si>
  <si>
    <t>Таблица 2 СЭ</t>
  </si>
  <si>
    <t>Таблица 3 СЭ</t>
  </si>
  <si>
    <t>Таблица 4 СЭ</t>
  </si>
  <si>
    <t>Оптимальные доли вложений инвестиций в каждый финансовый инструмент</t>
  </si>
  <si>
    <t>- Какой вариант инвестиционного портфеля  следует выбрать  (указать номер)?</t>
  </si>
  <si>
    <t>- Доходность портфеля (средняя) за квартал в % и за год в %?</t>
  </si>
  <si>
    <t>- Уровень риска портфеля за квартал в % и за год в %?</t>
  </si>
  <si>
    <t>- Гарантированная доходность портфеля  за квартал в % и за год в %?</t>
  </si>
  <si>
    <t>№=</t>
  </si>
  <si>
    <t>Доля в %</t>
  </si>
  <si>
    <t>ИТОГО</t>
  </si>
  <si>
    <t>Контроль</t>
  </si>
  <si>
    <t>Доходность</t>
  </si>
  <si>
    <t>Год=</t>
  </si>
  <si>
    <t>Кв=</t>
  </si>
  <si>
    <t xml:space="preserve">    У него максимум гарантированной доходности</t>
  </si>
  <si>
    <t>Копируем в таблицу 5 доли, доходность, риск</t>
  </si>
  <si>
    <t xml:space="preserve">По каждому варианту </t>
  </si>
  <si>
    <t>Смотрите клетки, выделенные этим фоном</t>
  </si>
  <si>
    <r>
      <t xml:space="preserve">7. Доходность </t>
    </r>
    <r>
      <rPr>
        <b/>
        <sz val="14"/>
        <color rgb="FF000000"/>
        <rFont val="Times New Roman"/>
        <family val="1"/>
        <charset val="204"/>
      </rPr>
      <t xml:space="preserve">инвестиционного портфеля в теории </t>
    </r>
    <r>
      <rPr>
        <b/>
        <sz val="14"/>
        <rFont val="Times New Roman"/>
        <family val="1"/>
        <charset val="204"/>
      </rPr>
      <t xml:space="preserve">Марковица </t>
    </r>
  </si>
  <si>
    <r>
      <t>16. Риск инвестиционного портфеля</t>
    </r>
    <r>
      <rPr>
        <sz val="14"/>
        <color rgb="FF000000"/>
        <rFont val="Times New Roman"/>
        <family val="1"/>
        <charset val="204"/>
      </rPr>
      <t xml:space="preserve"> </t>
    </r>
  </si>
  <si>
    <r>
      <t>12. Метод максимума гарантированной доходности</t>
    </r>
    <r>
      <rPr>
        <sz val="14"/>
        <color rgb="FF252525"/>
        <rFont val="Times New Roman"/>
        <family val="1"/>
        <charset val="204"/>
      </rPr>
      <t xml:space="preserve"> </t>
    </r>
  </si>
  <si>
    <t>№ Фин Инст</t>
  </si>
  <si>
    <t>Испортили программу. Начните с начала.</t>
  </si>
  <si>
    <t>Математическая модель Марковица: Формирование инвестиционного портфеля с использованием  ЧИСЛЕННЫХ МЕТОДОВ ОПТИМИЗАЦИИ.</t>
  </si>
  <si>
    <t xml:space="preserve">Обозначение переменных: вектор x – доли активов в портфеле размерностью (1 × n); K – ковариационная матрица активов, размерностью (n × n).  </t>
  </si>
  <si>
    <t xml:space="preserve">В Excel эта задача решается численным методом ОПГ. Вопрос ОПГ что это и его свойства? </t>
  </si>
  <si>
    <t>Кроме того, в инструменте ПОИСК РЕШЕНИЯ реализованы симплекс-метод и эволюционный поиск решения. Вопросы: Опишите эти методы?</t>
  </si>
  <si>
    <r>
      <t xml:space="preserve">На листе </t>
    </r>
    <r>
      <rPr>
        <b/>
        <sz val="10"/>
        <rFont val="Arial Cyr"/>
        <charset val="204"/>
      </rPr>
      <t>Методы оптимизации</t>
    </r>
    <r>
      <rPr>
        <sz val="10"/>
        <rFont val="Arial Cyr"/>
        <charset val="204"/>
      </rPr>
      <t xml:space="preserve"> пояснить: Модель Марковица это задача квадратичного программирования (КП). Вопрос КП это?</t>
    </r>
  </si>
  <si>
    <t>Квадратичное программирование это:</t>
  </si>
  <si>
    <t>Модель Марковица это задача квадратичного программирования (КП). Вопрос КП это?</t>
  </si>
  <si>
    <t>Симплекс-метод линейного программирования и его возможности в Excel можно описать так:</t>
  </si>
  <si>
    <t xml:space="preserve"> Эволюционный поиск решения, который реализован в Exel характеризуется следующими возможностями:</t>
  </si>
  <si>
    <t>https://ru.wikipedia.org/wiki</t>
  </si>
  <si>
    <t>Квадратичное программирование (англ. quadratic programming, QP) – это процесс решения задачи оптимизации специального типа, а именно — задачи оптимизации (минимизации или максимизации) квадратичной функции нескольких переменных при линейных ограничениях на эти переменные.</t>
  </si>
  <si>
    <t>Численный метод в Excel  под названием ОПГ характеризуется следующими свойствами:</t>
  </si>
  <si>
    <t xml:space="preserve">   В 1938 г. 26-летний советский математик Л.В. Канторович, работая научным консультантом на фанерной фабрике, впервые сформулировал линейную задачу оптимального распределения ограниченных производственных ресурсов и предложил соответствующий математический метод ее решения.
    Американский математик Дж. Данциг, занимаясь планированием в оборонной сфере США, в 1947 г., независимо от Л.В. Канторовича сформулировал линейную задачу оптимального распределения ограниченных ресурсов, которой дал название «линейное программирование». Он же предложил для ее решения метод, известный под названием симплекс-метода.
После чего начался бурный процесс применения задач линейного программирования в самых разнообразных сферах хозяйственной деятельности человека. Пример записи условий задачи линейного программирования справо.
</t>
  </si>
  <si>
    <r>
      <t xml:space="preserve">      </t>
    </r>
    <r>
      <rPr>
        <b/>
        <sz val="11"/>
        <rFont val="Arial Cyr"/>
        <charset val="204"/>
      </rPr>
      <t xml:space="preserve">Эволюционный метод. </t>
    </r>
    <r>
      <rPr>
        <sz val="11"/>
        <rFont val="Arial Cyr"/>
        <charset val="204"/>
      </rPr>
      <t xml:space="preserve"> Используется для негладких задач. В эволюционном методе не используются производные с целью определения траектории наискорейшего спуска, что представляет собой определенные преимущества для задач с негладкими функциями.
      В алгоритмах эволюционной оптимизации используются идеи естественного процесса генезиса (естественного отбора). Используются формальные категории: популяция, индивид, особь, скрещивания, мутации и отбор по критерию.
      Решение задач оптимизации с использованием эволюционных алгоритмов представляет собой реализацию метода стохастического градиентного спуска (Дарвин алгоритм), при котором исследование пространства возможных решений производится одновременно из множества исходных точек (индивидов популяции).
</t>
    </r>
  </si>
  <si>
    <t>Пример решения транспортной задачи линейного программирования максимальной размерности</t>
  </si>
  <si>
    <t>Число складов 20 а число потребителей 10.</t>
  </si>
  <si>
    <t>Исходные данные ниже.</t>
  </si>
  <si>
    <t>№ скл\№ п</t>
  </si>
  <si>
    <t>Суммы</t>
  </si>
  <si>
    <t>суммы</t>
  </si>
  <si>
    <t>Заявки</t>
  </si>
  <si>
    <t xml:space="preserve">Запасы </t>
  </si>
  <si>
    <t>равно</t>
  </si>
  <si>
    <t>Матрица затрат на перевозку</t>
  </si>
  <si>
    <t>Математическая модель транспортной задачи линейного программирования (ТЗЛП) и ее решение  Инструментом ПИСК РЕШЕНИЯ</t>
  </si>
  <si>
    <t>Максимальные возможности ПОИСКА РЕШЕНИЯ</t>
  </si>
  <si>
    <t>Целева ЯЧЕЙКА</t>
  </si>
  <si>
    <t>Генерирование матрицы затрат на перевозку СЛЧИС()</t>
  </si>
  <si>
    <t>Тыс. руб</t>
  </si>
  <si>
    <t>Число переменных 200, число ограничений 30</t>
  </si>
  <si>
    <t>Все запрограммировано включи ПОИСК РЕШЕНИЯ и получи целевую ячейку 1,56 тыс. руб</t>
  </si>
  <si>
    <t>№ вар</t>
  </si>
  <si>
    <t>Ответь на вопросы в конце ЛИСТА</t>
  </si>
  <si>
    <t>Вопросы по транспортной задаче линейного программирования (ТЗЛП)</t>
  </si>
  <si>
    <t>1. Строки 3 матриц соответствуют зарактеристикам складов, а столбцы соответствуют характеристикам потребителей перевозимого товара.</t>
  </si>
  <si>
    <t>Вопрос. Запишите в клетках:</t>
  </si>
  <si>
    <t>Число складов?</t>
  </si>
  <si>
    <t>Число потребителей?</t>
  </si>
  <si>
    <t>3. Кратко поясните словами ниже, как вычисляются затраты на перевозку товара со всех складов всем потребителям в ячейке N11 ?</t>
  </si>
  <si>
    <t>4. Запишите оператор генерации случайного числа от номера вашего варианта до 100.</t>
  </si>
  <si>
    <t xml:space="preserve"> Оператор запишите в следующей клетке</t>
  </si>
  <si>
    <t>Ответы смотрите в учебном пособии.</t>
  </si>
  <si>
    <t>Гарант Дох</t>
  </si>
  <si>
    <t>ОПТИМ по критерию максимум гарантированной доходности (%Низ)</t>
  </si>
  <si>
    <t>На этом листе  программы Excel  ответить на вопросы, которые по результатам расчетов  ДОЛЖЕН задать себе аналитик:</t>
  </si>
  <si>
    <t>В каких процентных пропорциях  складывается портфель?</t>
  </si>
  <si>
    <t>Исходные данные на следующем ЛИСТЕ</t>
  </si>
  <si>
    <t>Учебное пособие "Аналитические методы экономики и управления" С. 12 - 16</t>
  </si>
  <si>
    <t>2. Кратко поясните словами на выделенном ниже поле, что означают клетки матрицы приведенной в блоке В15:К34?</t>
  </si>
  <si>
    <t xml:space="preserve">Учебное пособие "Аналитические методы ………..." С. 12 - 16 </t>
  </si>
  <si>
    <r>
      <t>ШАГ 1.</t>
    </r>
    <r>
      <rPr>
        <sz val="14"/>
        <rFont val="Times New Roman"/>
        <family val="1"/>
        <charset val="204"/>
      </rPr>
      <t xml:space="preserve"> Заполняем своими столбцами таблицу 1 на следующем листе Excel. </t>
    </r>
  </si>
  <si>
    <t>Теория портфельного анализа на стр 10-16 учебного пособия.</t>
  </si>
  <si>
    <t>Термины и определения смотреть в глоссарии.</t>
  </si>
  <si>
    <t>ФИО Таблица 2.2.</t>
  </si>
  <si>
    <t>ФИО Таблица 2.3</t>
  </si>
  <si>
    <t xml:space="preserve">Задание. </t>
  </si>
  <si>
    <t>Познакомиться с моделью Марковица.</t>
  </si>
  <si>
    <t xml:space="preserve">На листе "Методы оптимизации"  рассмотреть определение задач оптимизации </t>
  </si>
  <si>
    <t>Квадратичное программирование, Линейное программирование. Характеристику "Поиск решения"</t>
  </si>
  <si>
    <t>Таблица</t>
  </si>
  <si>
    <t>Таблица исходных данных</t>
  </si>
  <si>
    <t>Получили таблицу квартальных доходностей 5 финансовых инструментов за 3 года в условиях СЭ.</t>
  </si>
  <si>
    <t>1. Для своего варианта номеров столбцов таблица исходных данных заполнить таблицу 1 СЭ</t>
  </si>
  <si>
    <t>Индивидуальное задание. Все выполняется на листе "СТАБИЛЬНАЯ ЭКОНОМИКА". Там задан порядок расчетов.</t>
  </si>
  <si>
    <t>2. Выполни действия в задании в клетке М27 . Получили задание для заполнения таблицы вариантов.</t>
  </si>
  <si>
    <t>3. Для каждого расчета Поиска решения выполни действие в клетке I48.</t>
  </si>
  <si>
    <t>Результаты расчетов копируем в строку таблицы вариантов. Ожидаемая доходность и риск копировать значения.</t>
  </si>
  <si>
    <t>4. После заполнения таблицы вариантов найди оптимальный портфель по критерию макс гарантированной доходности.</t>
  </si>
  <si>
    <t>5. Ответь на вопросы теста.</t>
  </si>
  <si>
    <t>6. Перешли файл преподавателю с именем группа фамилия.</t>
  </si>
  <si>
    <t>Все!</t>
  </si>
  <si>
    <t xml:space="preserve">На листе "Пример ТЗЛП" максимальная по числу переменных задача оптимизации. </t>
  </si>
  <si>
    <t>Найти ее решение получить в яцейке N11 число 1.71</t>
  </si>
  <si>
    <t>Азиззода Сафарали (Т)</t>
  </si>
  <si>
    <t xml:space="preserve">Булачкова Юлианна </t>
  </si>
  <si>
    <t>Гаврилов Егор (К)</t>
  </si>
  <si>
    <t>Гайдай Андрей</t>
  </si>
  <si>
    <t>Ганибаев Равиль (К)</t>
  </si>
  <si>
    <t xml:space="preserve">Граубергер Александр </t>
  </si>
  <si>
    <t xml:space="preserve">Ерофеев Тимур </t>
  </si>
  <si>
    <t xml:space="preserve">Жидков Григорий </t>
  </si>
  <si>
    <t xml:space="preserve">Коваленко Алексей </t>
  </si>
  <si>
    <t xml:space="preserve">Козлов Леонид </t>
  </si>
  <si>
    <t xml:space="preserve">Колупаев Александр </t>
  </si>
  <si>
    <t xml:space="preserve">Кондратенко Иван </t>
  </si>
  <si>
    <t xml:space="preserve">Кузнецов Максим </t>
  </si>
  <si>
    <t xml:space="preserve">Кузяков Сергей </t>
  </si>
  <si>
    <t xml:space="preserve">Лысенко Никита </t>
  </si>
  <si>
    <t>Лян Вэньхао (К)</t>
  </si>
  <si>
    <t xml:space="preserve">Меньшиков Сергей </t>
  </si>
  <si>
    <t xml:space="preserve">Сопов Никита </t>
  </si>
  <si>
    <t xml:space="preserve">Стеганцев Дмитрий </t>
  </si>
  <si>
    <t xml:space="preserve">Тихомирова Злата </t>
  </si>
  <si>
    <t xml:space="preserve">Чечулин Николай </t>
  </si>
  <si>
    <t xml:space="preserve">Языков Ярослав </t>
  </si>
  <si>
    <t>Ваш вариант 14 гр 4.606Мз-3</t>
  </si>
  <si>
    <t>Ваш вариант 15 гр 4.606Мз-4</t>
  </si>
  <si>
    <t>Гр. 4.606М-3 Номера  вариантов</t>
  </si>
  <si>
    <t>Гр. 4.606Мз-3 Номера  вариантов</t>
  </si>
  <si>
    <t>Абрамян Нина</t>
  </si>
  <si>
    <t xml:space="preserve">Адаев Дмитрий </t>
  </si>
  <si>
    <t>Бенчак Олег (К) (МФ)</t>
  </si>
  <si>
    <t xml:space="preserve">Вдовин Руслан </t>
  </si>
  <si>
    <t xml:space="preserve">Волков Федор </t>
  </si>
  <si>
    <t xml:space="preserve">Клевцов Артём </t>
  </si>
  <si>
    <t xml:space="preserve">Лакпа Темир </t>
  </si>
  <si>
    <t xml:space="preserve">Манаков Матвей </t>
  </si>
  <si>
    <t xml:space="preserve">Рысин Павел </t>
  </si>
  <si>
    <t xml:space="preserve">Сальникова Ксения </t>
  </si>
  <si>
    <t xml:space="preserve">Сизинцева Юлия </t>
  </si>
  <si>
    <t xml:space="preserve">Сиялов Илья </t>
  </si>
  <si>
    <t xml:space="preserve">Черевкова Алёна (МФ) </t>
  </si>
  <si>
    <t>это матрица плана перевозок, в ячейках объем груза который везут со склада потребителю</t>
  </si>
  <si>
    <t>объемы умножаются на затраты и суммируются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</si>
</sst>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0"/>
      <name val="Arial Cyr"/>
      <charset val="204"/>
    </font>
    <font>
      <sz val="8"/>
      <name val="Arial Cyr"/>
      <charset val="204"/>
    </font>
    <font>
      <sz val="14"/>
      <name val="Arial Cyr"/>
      <charset val="204"/>
    </font>
    <font>
      <sz val="10"/>
      <name val="Times New Roman"/>
      <family val="1"/>
      <charset val="204"/>
    </font>
    <font>
      <sz val="12"/>
      <name val="Arial"/>
      <family val="2"/>
      <charset val="204"/>
    </font>
    <font>
      <b/>
      <sz val="10"/>
      <name val="Arial Cyr"/>
      <charset val="204"/>
    </font>
    <font>
      <sz val="11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Arial Cyr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252525"/>
      <name val="Times New Roman"/>
      <family val="1"/>
      <charset val="204"/>
    </font>
    <font>
      <sz val="14"/>
      <color rgb="FF252525"/>
      <name val="Times New Roman"/>
      <family val="1"/>
      <charset val="204"/>
    </font>
    <font>
      <u/>
      <sz val="10"/>
      <color theme="10"/>
      <name val="Arial Cyr"/>
      <charset val="204"/>
    </font>
    <font>
      <b/>
      <sz val="11"/>
      <name val="Arial Cyr"/>
      <charset val="204"/>
    </font>
    <font>
      <sz val="10"/>
      <name val="Arial Cyr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right"/>
    </xf>
    <xf numFmtId="0" fontId="2" fillId="2" borderId="0" xfId="0" applyFont="1" applyFill="1"/>
    <xf numFmtId="0" fontId="0" fillId="2" borderId="0" xfId="0" applyFill="1"/>
    <xf numFmtId="10" fontId="0" fillId="3" borderId="0" xfId="0" applyNumberFormat="1" applyFill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0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0" fontId="0" fillId="5" borderId="0" xfId="0" applyNumberFormat="1" applyFill="1" applyAlignment="1" applyProtection="1">
      <alignment horizontal="center"/>
      <protection locked="0"/>
    </xf>
    <xf numFmtId="10" fontId="0" fillId="5" borderId="1" xfId="0" applyNumberFormat="1" applyFill="1" applyBorder="1" applyAlignment="1" applyProtection="1">
      <alignment horizontal="center"/>
      <protection locked="0"/>
    </xf>
    <xf numFmtId="10" fontId="0" fillId="5" borderId="1" xfId="0" applyNumberForma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0" fillId="4" borderId="0" xfId="0" applyFill="1"/>
    <xf numFmtId="0" fontId="10" fillId="4" borderId="0" xfId="0" applyFont="1" applyFill="1"/>
    <xf numFmtId="0" fontId="11" fillId="0" borderId="0" xfId="0" applyFont="1"/>
    <xf numFmtId="0" fontId="13" fillId="0" borderId="0" xfId="0" applyFont="1"/>
    <xf numFmtId="0" fontId="10" fillId="0" borderId="0" xfId="0" applyFont="1" applyAlignment="1">
      <alignment horizontal="left"/>
    </xf>
    <xf numFmtId="10" fontId="10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6" borderId="0" xfId="0" applyFon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15" fillId="0" borderId="0" xfId="1"/>
    <xf numFmtId="2" fontId="0" fillId="7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 vertical="center"/>
    </xf>
    <xf numFmtId="0" fontId="6" fillId="5" borderId="0" xfId="0" applyFont="1" applyFill="1"/>
    <xf numFmtId="0" fontId="0" fillId="9" borderId="0" xfId="0" applyFill="1"/>
    <xf numFmtId="0" fontId="2" fillId="0" borderId="0" xfId="0" applyFont="1"/>
    <xf numFmtId="0" fontId="10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0" fillId="11" borderId="0" xfId="0" applyFont="1" applyFill="1" applyAlignment="1">
      <alignment horizontal="center"/>
    </xf>
    <xf numFmtId="10" fontId="10" fillId="11" borderId="0" xfId="2" applyNumberFormat="1" applyFont="1" applyFill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9" fillId="0" borderId="0" xfId="0" applyFont="1"/>
    <xf numFmtId="0" fontId="4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10" fillId="10" borderId="0" xfId="0" applyNumberFormat="1" applyFont="1" applyFill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19" fillId="0" borderId="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2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0" fillId="7" borderId="0" xfId="0" applyFill="1" applyAlignment="1">
      <alignment horizontal="center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10</xdr:col>
      <xdr:colOff>206294</xdr:colOff>
      <xdr:row>31</xdr:row>
      <xdr:rowOff>17311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760"/>
          <a:ext cx="6393734" cy="1912786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281941</xdr:colOff>
      <xdr:row>2</xdr:row>
      <xdr:rowOff>15241</xdr:rowOff>
    </xdr:from>
    <xdr:to>
      <xdr:col>8</xdr:col>
      <xdr:colOff>281940</xdr:colOff>
      <xdr:row>9</xdr:row>
      <xdr:rowOff>21465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2581" y="350521"/>
          <a:ext cx="3657599" cy="117970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10</xdr:row>
          <xdr:rowOff>0</xdr:rowOff>
        </xdr:from>
        <xdr:to>
          <xdr:col>4</xdr:col>
          <xdr:colOff>438150</xdr:colOff>
          <xdr:row>10</xdr:row>
          <xdr:rowOff>19050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12</xdr:col>
      <xdr:colOff>1181810</xdr:colOff>
      <xdr:row>13</xdr:row>
      <xdr:rowOff>129580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44040"/>
          <a:ext cx="8192210" cy="464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129541</xdr:rowOff>
    </xdr:from>
    <xdr:to>
      <xdr:col>10</xdr:col>
      <xdr:colOff>137160</xdr:colOff>
      <xdr:row>43</xdr:row>
      <xdr:rowOff>173195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141721"/>
          <a:ext cx="6332220" cy="18019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2</xdr:row>
      <xdr:rowOff>38101</xdr:rowOff>
    </xdr:from>
    <xdr:to>
      <xdr:col>6</xdr:col>
      <xdr:colOff>137160</xdr:colOff>
      <xdr:row>9</xdr:row>
      <xdr:rowOff>44325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373381"/>
          <a:ext cx="3657599" cy="117970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10</xdr:row>
          <xdr:rowOff>0</xdr:rowOff>
        </xdr:from>
        <xdr:to>
          <xdr:col>4</xdr:col>
          <xdr:colOff>438150</xdr:colOff>
          <xdr:row>10</xdr:row>
          <xdr:rowOff>19050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13</xdr:col>
      <xdr:colOff>175970</xdr:colOff>
      <xdr:row>13</xdr:row>
      <xdr:rowOff>129580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192210" cy="464860"/>
        </a:xfrm>
        <a:prstGeom prst="rect">
          <a:avLst/>
        </a:prstGeom>
      </xdr:spPr>
    </xdr:pic>
    <xdr:clientData/>
  </xdr:twoCellAnchor>
  <xdr:twoCellAnchor editAs="oneCell">
    <xdr:from>
      <xdr:col>7</xdr:col>
      <xdr:colOff>594360</xdr:colOff>
      <xdr:row>15</xdr:row>
      <xdr:rowOff>80878</xdr:rowOff>
    </xdr:from>
    <xdr:to>
      <xdr:col>16</xdr:col>
      <xdr:colOff>520066</xdr:colOff>
      <xdr:row>29</xdr:row>
      <xdr:rowOff>22860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2595478"/>
          <a:ext cx="5412106" cy="2288942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</xdr:colOff>
      <xdr:row>2</xdr:row>
      <xdr:rowOff>15240</xdr:rowOff>
    </xdr:from>
    <xdr:to>
      <xdr:col>15</xdr:col>
      <xdr:colOff>331470</xdr:colOff>
      <xdr:row>8</xdr:row>
      <xdr:rowOff>99060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73880" y="350520"/>
          <a:ext cx="5193030" cy="1089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464819</xdr:colOff>
      <xdr:row>40</xdr:row>
      <xdr:rowOff>121587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64480"/>
          <a:ext cx="6042659" cy="146270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15</xdr:col>
      <xdr:colOff>541020</xdr:colOff>
      <xdr:row>57</xdr:row>
      <xdr:rowOff>91440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97040" y="7376160"/>
          <a:ext cx="2979420" cy="227076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71</xdr:row>
      <xdr:rowOff>60960</xdr:rowOff>
    </xdr:from>
    <xdr:to>
      <xdr:col>13</xdr:col>
      <xdr:colOff>381000</xdr:colOff>
      <xdr:row>91</xdr:row>
      <xdr:rowOff>68580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" y="12016740"/>
          <a:ext cx="8031480" cy="336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2</xdr:row>
      <xdr:rowOff>83820</xdr:rowOff>
    </xdr:from>
    <xdr:to>
      <xdr:col>8</xdr:col>
      <xdr:colOff>361950</xdr:colOff>
      <xdr:row>9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" y="426720"/>
          <a:ext cx="5193030" cy="108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ru.wikipedia.org/wiki" TargetMode="External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workbookViewId="0">
      <selection activeCell="S37" sqref="S37"/>
    </sheetView>
  </sheetViews>
  <sheetFormatPr defaultRowHeight="12.75" x14ac:dyDescent="0.2"/>
  <cols>
    <col min="1" max="1" width="10.28515625" customWidth="1"/>
    <col min="11" max="11" width="6.28515625" customWidth="1"/>
    <col min="12" max="12" width="5.7109375" customWidth="1"/>
    <col min="13" max="13" width="25.42578125" customWidth="1"/>
    <col min="14" max="14" width="5.28515625" customWidth="1"/>
    <col min="15" max="15" width="5.85546875" customWidth="1"/>
    <col min="16" max="16" width="25.7109375" customWidth="1"/>
  </cols>
  <sheetData>
    <row r="1" spans="1:13" x14ac:dyDescent="0.2">
      <c r="A1" s="37" t="s">
        <v>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2">
      <c r="A2" t="s">
        <v>105</v>
      </c>
    </row>
    <row r="11" spans="1:13" x14ac:dyDescent="0.2">
      <c r="A11" t="s">
        <v>57</v>
      </c>
    </row>
    <row r="15" spans="1:13" x14ac:dyDescent="0.2">
      <c r="A15" t="s">
        <v>60</v>
      </c>
    </row>
    <row r="16" spans="1:13" x14ac:dyDescent="0.2">
      <c r="A16" t="s">
        <v>58</v>
      </c>
    </row>
    <row r="17" spans="1:16" x14ac:dyDescent="0.2">
      <c r="A17" t="s">
        <v>59</v>
      </c>
    </row>
    <row r="20" spans="1:16" ht="18.75" x14ac:dyDescent="0.2">
      <c r="A20" s="34" t="s">
        <v>106</v>
      </c>
    </row>
    <row r="21" spans="1:16" x14ac:dyDescent="0.2">
      <c r="L21" t="s">
        <v>153</v>
      </c>
      <c r="O21" t="s">
        <v>154</v>
      </c>
    </row>
    <row r="22" spans="1:16" x14ac:dyDescent="0.2">
      <c r="L22" s="1" t="s">
        <v>87</v>
      </c>
      <c r="M22" t="s">
        <v>109</v>
      </c>
      <c r="O22" s="1" t="s">
        <v>87</v>
      </c>
      <c r="P22" t="s">
        <v>110</v>
      </c>
    </row>
    <row r="23" spans="1:16" ht="16.899999999999999" customHeight="1" x14ac:dyDescent="0.2">
      <c r="L23" s="54">
        <v>1</v>
      </c>
      <c r="M23" s="60" t="s">
        <v>129</v>
      </c>
      <c r="O23" s="4">
        <v>1</v>
      </c>
      <c r="P23" s="60" t="s">
        <v>155</v>
      </c>
    </row>
    <row r="24" spans="1:16" ht="16.149999999999999" customHeight="1" x14ac:dyDescent="0.2">
      <c r="L24" s="54">
        <v>2</v>
      </c>
      <c r="M24" s="60" t="s">
        <v>130</v>
      </c>
      <c r="O24" s="4">
        <v>2</v>
      </c>
      <c r="P24" s="60" t="s">
        <v>156</v>
      </c>
    </row>
    <row r="25" spans="1:16" ht="18" customHeight="1" x14ac:dyDescent="0.2">
      <c r="L25" s="54">
        <v>3</v>
      </c>
      <c r="M25" s="60" t="s">
        <v>131</v>
      </c>
      <c r="O25" s="4">
        <v>3</v>
      </c>
      <c r="P25" s="60" t="s">
        <v>157</v>
      </c>
    </row>
    <row r="26" spans="1:16" ht="18.600000000000001" customHeight="1" x14ac:dyDescent="0.2">
      <c r="L26" s="54">
        <v>4</v>
      </c>
      <c r="M26" s="60" t="s">
        <v>132</v>
      </c>
      <c r="O26" s="4">
        <v>4</v>
      </c>
      <c r="P26" s="60" t="s">
        <v>158</v>
      </c>
    </row>
    <row r="27" spans="1:16" ht="13.15" customHeight="1" x14ac:dyDescent="0.2">
      <c r="L27" s="54">
        <v>5</v>
      </c>
      <c r="M27" s="60" t="s">
        <v>133</v>
      </c>
      <c r="O27" s="4">
        <v>5</v>
      </c>
      <c r="P27" s="60" t="s">
        <v>159</v>
      </c>
    </row>
    <row r="28" spans="1:16" ht="13.15" customHeight="1" x14ac:dyDescent="0.2">
      <c r="L28" s="54">
        <v>6</v>
      </c>
      <c r="M28" s="60" t="s">
        <v>134</v>
      </c>
      <c r="O28" s="4">
        <v>6</v>
      </c>
      <c r="P28" s="60" t="s">
        <v>160</v>
      </c>
    </row>
    <row r="29" spans="1:16" ht="12.6" customHeight="1" x14ac:dyDescent="0.2">
      <c r="L29" s="54">
        <v>7</v>
      </c>
      <c r="M29" s="60" t="s">
        <v>135</v>
      </c>
      <c r="O29" s="4">
        <v>7</v>
      </c>
      <c r="P29" s="60" t="s">
        <v>161</v>
      </c>
    </row>
    <row r="30" spans="1:16" ht="16.899999999999999" customHeight="1" x14ac:dyDescent="0.2">
      <c r="L30" s="54">
        <v>8</v>
      </c>
      <c r="M30" s="60" t="s">
        <v>136</v>
      </c>
      <c r="O30" s="4">
        <v>8</v>
      </c>
      <c r="P30" s="60" t="s">
        <v>162</v>
      </c>
    </row>
    <row r="31" spans="1:16" ht="10.9" customHeight="1" x14ac:dyDescent="0.2">
      <c r="L31" s="54">
        <v>9</v>
      </c>
      <c r="M31" s="60" t="s">
        <v>137</v>
      </c>
      <c r="O31" s="4">
        <v>9</v>
      </c>
      <c r="P31" s="60" t="s">
        <v>163</v>
      </c>
    </row>
    <row r="32" spans="1:16" ht="14.45" customHeight="1" x14ac:dyDescent="0.2">
      <c r="L32" s="54">
        <v>10</v>
      </c>
      <c r="M32" s="60" t="s">
        <v>138</v>
      </c>
      <c r="O32" s="4">
        <v>10</v>
      </c>
      <c r="P32" s="60" t="s">
        <v>164</v>
      </c>
    </row>
    <row r="33" spans="1:16" ht="15" customHeight="1" x14ac:dyDescent="0.25">
      <c r="A33" s="55" t="s">
        <v>107</v>
      </c>
      <c r="L33" s="54">
        <v>11</v>
      </c>
      <c r="M33" s="60" t="s">
        <v>139</v>
      </c>
      <c r="O33" s="4">
        <v>11</v>
      </c>
      <c r="P33" s="60" t="s">
        <v>165</v>
      </c>
    </row>
    <row r="34" spans="1:16" ht="12.6" customHeight="1" x14ac:dyDescent="0.25">
      <c r="A34" s="55" t="s">
        <v>108</v>
      </c>
      <c r="L34" s="54">
        <v>12</v>
      </c>
      <c r="M34" s="60" t="s">
        <v>140</v>
      </c>
      <c r="O34" s="4">
        <v>12</v>
      </c>
      <c r="P34" s="60" t="s">
        <v>166</v>
      </c>
    </row>
    <row r="35" spans="1:16" ht="15.6" customHeight="1" x14ac:dyDescent="0.2">
      <c r="L35" s="54">
        <v>13</v>
      </c>
      <c r="M35" s="60" t="s">
        <v>141</v>
      </c>
      <c r="O35" s="4">
        <v>13</v>
      </c>
      <c r="P35" s="60" t="s">
        <v>167</v>
      </c>
    </row>
    <row r="36" spans="1:16" ht="12.6" customHeight="1" x14ac:dyDescent="0.2">
      <c r="L36" s="54">
        <v>14</v>
      </c>
      <c r="M36" s="60" t="s">
        <v>142</v>
      </c>
      <c r="O36" s="1"/>
      <c r="P36" s="61"/>
    </row>
    <row r="37" spans="1:16" ht="14.45" customHeight="1" x14ac:dyDescent="0.2">
      <c r="L37" s="54">
        <v>15</v>
      </c>
      <c r="M37" s="60" t="s">
        <v>143</v>
      </c>
      <c r="O37" s="1"/>
      <c r="P37" s="61"/>
    </row>
    <row r="38" spans="1:16" ht="15.75" x14ac:dyDescent="0.2">
      <c r="L38" s="54">
        <v>16</v>
      </c>
      <c r="M38" s="60" t="s">
        <v>144</v>
      </c>
    </row>
    <row r="39" spans="1:16" ht="15.75" x14ac:dyDescent="0.2">
      <c r="L39" s="54">
        <v>17</v>
      </c>
      <c r="M39" s="60" t="s">
        <v>145</v>
      </c>
    </row>
    <row r="40" spans="1:16" ht="15.75" x14ac:dyDescent="0.2">
      <c r="L40" s="54">
        <v>18</v>
      </c>
      <c r="M40" s="60" t="s">
        <v>146</v>
      </c>
    </row>
    <row r="41" spans="1:16" ht="15.75" x14ac:dyDescent="0.2">
      <c r="L41" s="54">
        <v>19</v>
      </c>
      <c r="M41" s="60" t="s">
        <v>147</v>
      </c>
    </row>
    <row r="42" spans="1:16" ht="15.75" x14ac:dyDescent="0.2">
      <c r="L42" s="54">
        <v>20</v>
      </c>
      <c r="M42" s="60" t="s">
        <v>148</v>
      </c>
    </row>
    <row r="43" spans="1:16" ht="15.75" x14ac:dyDescent="0.2">
      <c r="L43" s="3"/>
      <c r="M43" s="60" t="s">
        <v>149</v>
      </c>
      <c r="N43" t="s">
        <v>151</v>
      </c>
    </row>
    <row r="44" spans="1:16" ht="15.75" x14ac:dyDescent="0.2">
      <c r="L44" s="3"/>
      <c r="M44" s="60" t="s">
        <v>150</v>
      </c>
      <c r="N44" t="s">
        <v>152</v>
      </c>
    </row>
    <row r="47" spans="1:16" x14ac:dyDescent="0.2">
      <c r="A47" s="37" t="s">
        <v>111</v>
      </c>
    </row>
    <row r="48" spans="1:16" x14ac:dyDescent="0.2">
      <c r="A48" t="s">
        <v>112</v>
      </c>
    </row>
    <row r="49" spans="1:6" x14ac:dyDescent="0.2">
      <c r="A49" t="s">
        <v>113</v>
      </c>
    </row>
    <row r="50" spans="1:6" x14ac:dyDescent="0.2">
      <c r="A50" t="s">
        <v>114</v>
      </c>
    </row>
    <row r="51" spans="1:6" x14ac:dyDescent="0.2">
      <c r="A51" t="s">
        <v>127</v>
      </c>
    </row>
    <row r="52" spans="1:6" x14ac:dyDescent="0.2">
      <c r="A52" t="s">
        <v>128</v>
      </c>
    </row>
    <row r="53" spans="1:6" x14ac:dyDescent="0.2">
      <c r="A53" t="s">
        <v>119</v>
      </c>
    </row>
    <row r="54" spans="1:6" x14ac:dyDescent="0.2">
      <c r="A54" t="s">
        <v>118</v>
      </c>
    </row>
    <row r="55" spans="1:6" x14ac:dyDescent="0.2">
      <c r="A55" t="s">
        <v>117</v>
      </c>
    </row>
    <row r="56" spans="1:6" x14ac:dyDescent="0.2">
      <c r="A56" t="s">
        <v>120</v>
      </c>
    </row>
    <row r="57" spans="1:6" x14ac:dyDescent="0.2">
      <c r="A57" t="s">
        <v>121</v>
      </c>
    </row>
    <row r="58" spans="1:6" x14ac:dyDescent="0.2">
      <c r="A58" t="s">
        <v>122</v>
      </c>
    </row>
    <row r="59" spans="1:6" x14ac:dyDescent="0.2">
      <c r="A59" t="s">
        <v>123</v>
      </c>
    </row>
    <row r="60" spans="1:6" x14ac:dyDescent="0.2">
      <c r="A60" t="s">
        <v>124</v>
      </c>
    </row>
    <row r="61" spans="1:6" x14ac:dyDescent="0.2">
      <c r="A61" t="s">
        <v>125</v>
      </c>
    </row>
    <row r="62" spans="1:6" x14ac:dyDescent="0.2">
      <c r="A62" t="s">
        <v>126</v>
      </c>
    </row>
    <row r="63" spans="1:6" ht="18.75" x14ac:dyDescent="0.3">
      <c r="A63" s="35" t="s">
        <v>55</v>
      </c>
      <c r="B63" s="36"/>
      <c r="C63" s="36"/>
      <c r="D63" s="36"/>
      <c r="E63" s="36"/>
      <c r="F63" s="36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32" r:id="rId4">
          <objectPr defaultSize="0" autoPict="0" r:id="rId5">
            <anchor moveWithCells="1" sizeWithCells="1">
              <from>
                <xdr:col>3</xdr:col>
                <xdr:colOff>0</xdr:colOff>
                <xdr:row>10</xdr:row>
                <xdr:rowOff>0</xdr:rowOff>
              </from>
              <to>
                <xdr:col>4</xdr:col>
                <xdr:colOff>438150</xdr:colOff>
                <xdr:row>10</xdr:row>
                <xdr:rowOff>19050</xdr:rowOff>
              </to>
            </anchor>
          </objectPr>
        </oleObject>
      </mc:Choice>
      <mc:Fallback>
        <oleObject progId="Equation.3" shapeId="103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6"/>
  <sheetViews>
    <sheetView tabSelected="1" topLeftCell="A22" zoomScaleNormal="100" workbookViewId="0">
      <selection activeCell="M73" sqref="M73"/>
    </sheetView>
  </sheetViews>
  <sheetFormatPr defaultRowHeight="12.75" x14ac:dyDescent="0.2"/>
  <cols>
    <col min="1" max="1" width="12.7109375" customWidth="1"/>
    <col min="2" max="2" width="14.28515625" customWidth="1"/>
    <col min="3" max="3" width="10.7109375" customWidth="1"/>
    <col min="4" max="4" width="13.85546875" customWidth="1"/>
    <col min="5" max="5" width="11" customWidth="1"/>
    <col min="6" max="6" width="13.7109375" customWidth="1"/>
    <col min="7" max="7" width="15.5703125" customWidth="1"/>
    <col min="8" max="8" width="13.7109375" customWidth="1"/>
    <col min="9" max="9" width="11.5703125" customWidth="1"/>
    <col min="10" max="10" width="9.28515625" customWidth="1"/>
    <col min="11" max="11" width="10.140625" customWidth="1"/>
  </cols>
  <sheetData>
    <row r="1" spans="2:19" ht="18" x14ac:dyDescent="0.25">
      <c r="B1" s="8" t="s">
        <v>11</v>
      </c>
      <c r="C1" s="8"/>
      <c r="D1" s="8"/>
      <c r="E1" s="8"/>
      <c r="F1" s="8"/>
      <c r="G1" s="9"/>
      <c r="H1" s="9"/>
    </row>
    <row r="4" spans="2:19" ht="14.25" x14ac:dyDescent="0.2">
      <c r="B4" s="18" t="s">
        <v>0</v>
      </c>
      <c r="C4" s="18"/>
      <c r="D4" s="18"/>
      <c r="E4" s="18"/>
      <c r="F4" s="18"/>
      <c r="G4" s="18" t="s">
        <v>16</v>
      </c>
      <c r="J4" t="s">
        <v>116</v>
      </c>
      <c r="R4" t="s">
        <v>115</v>
      </c>
    </row>
    <row r="5" spans="2:19" ht="15" x14ac:dyDescent="0.2">
      <c r="B5" s="4" t="s">
        <v>12</v>
      </c>
      <c r="C5" s="56">
        <v>1</v>
      </c>
      <c r="D5" s="56">
        <v>2</v>
      </c>
      <c r="E5" s="56">
        <v>4</v>
      </c>
      <c r="F5" s="56">
        <v>5</v>
      </c>
      <c r="G5" s="56">
        <v>8</v>
      </c>
      <c r="I5" s="56" t="s">
        <v>17</v>
      </c>
      <c r="J5" s="56">
        <v>1</v>
      </c>
      <c r="K5" s="56">
        <v>2</v>
      </c>
      <c r="L5" s="56">
        <v>3</v>
      </c>
      <c r="M5" s="56">
        <v>4</v>
      </c>
      <c r="N5" s="56">
        <v>5</v>
      </c>
      <c r="O5" s="56">
        <v>6</v>
      </c>
      <c r="P5" s="56">
        <v>7</v>
      </c>
      <c r="Q5" s="56">
        <v>8</v>
      </c>
      <c r="R5" s="56">
        <v>9</v>
      </c>
      <c r="S5" s="56">
        <v>10</v>
      </c>
    </row>
    <row r="6" spans="2:19" ht="15" x14ac:dyDescent="0.2">
      <c r="B6" s="4">
        <v>1</v>
      </c>
      <c r="C6" s="57">
        <v>4.2900000000000001E-2</v>
      </c>
      <c r="D6" s="57">
        <v>2.41E-2</v>
      </c>
      <c r="E6" s="57">
        <v>4.2599999999999999E-2</v>
      </c>
      <c r="F6" s="57">
        <v>9.4999999999999998E-3</v>
      </c>
      <c r="G6" s="57">
        <v>4.2900000000000001E-2</v>
      </c>
      <c r="I6" s="56">
        <v>1</v>
      </c>
      <c r="J6" s="57">
        <v>4.2900000000000001E-2</v>
      </c>
      <c r="K6" s="57">
        <v>2.41E-2</v>
      </c>
      <c r="L6" s="57">
        <v>5.2299999999999999E-2</v>
      </c>
      <c r="M6" s="57">
        <v>4.2599999999999999E-2</v>
      </c>
      <c r="N6" s="57">
        <v>9.4999999999999998E-3</v>
      </c>
      <c r="O6" s="57">
        <v>2.0199999999999999E-2</v>
      </c>
      <c r="P6" s="57">
        <v>-3.2399999999999998E-2</v>
      </c>
      <c r="Q6" s="57">
        <v>4.2900000000000001E-2</v>
      </c>
      <c r="R6" s="57">
        <v>1.7500000000000002E-2</v>
      </c>
      <c r="S6" s="57">
        <v>6.3E-2</v>
      </c>
    </row>
    <row r="7" spans="2:19" ht="15" x14ac:dyDescent="0.2">
      <c r="B7" s="4">
        <v>2</v>
      </c>
      <c r="C7" s="57">
        <v>6.4399999999999999E-2</v>
      </c>
      <c r="D7" s="57">
        <v>3.39E-2</v>
      </c>
      <c r="E7" s="57">
        <v>7.7600000000000002E-2</v>
      </c>
      <c r="F7" s="57">
        <v>-2.3E-3</v>
      </c>
      <c r="G7" s="57">
        <v>5.2900000000000003E-2</v>
      </c>
      <c r="I7" s="56">
        <v>2</v>
      </c>
      <c r="J7" s="57">
        <v>6.4399999999999999E-2</v>
      </c>
      <c r="K7" s="57">
        <v>3.39E-2</v>
      </c>
      <c r="L7" s="57">
        <v>3.7600000000000001E-2</v>
      </c>
      <c r="M7" s="57">
        <v>7.7600000000000002E-2</v>
      </c>
      <c r="N7" s="57">
        <v>-2.3E-3</v>
      </c>
      <c r="O7" s="57">
        <v>-1.9E-3</v>
      </c>
      <c r="P7" s="57">
        <v>2.5499999999999998E-2</v>
      </c>
      <c r="Q7" s="57">
        <v>5.2900000000000003E-2</v>
      </c>
      <c r="R7" s="57">
        <v>-1.6999999999999999E-3</v>
      </c>
      <c r="S7" s="57">
        <v>4.99E-2</v>
      </c>
    </row>
    <row r="8" spans="2:19" ht="15" x14ac:dyDescent="0.2">
      <c r="B8" s="4">
        <v>3</v>
      </c>
      <c r="C8" s="57">
        <v>1.89E-2</v>
      </c>
      <c r="D8" s="57">
        <v>2.93E-2</v>
      </c>
      <c r="E8" s="57">
        <v>-2.41E-2</v>
      </c>
      <c r="F8" s="57">
        <v>6.0900000000000003E-2</v>
      </c>
      <c r="G8" s="57">
        <v>0.12740000000000001</v>
      </c>
      <c r="I8" s="56">
        <v>3</v>
      </c>
      <c r="J8" s="57">
        <v>1.89E-2</v>
      </c>
      <c r="K8" s="57">
        <v>2.93E-2</v>
      </c>
      <c r="L8" s="57">
        <v>2.1000000000000001E-2</v>
      </c>
      <c r="M8" s="57">
        <v>-2.41E-2</v>
      </c>
      <c r="N8" s="57">
        <v>6.0900000000000003E-2</v>
      </c>
      <c r="O8" s="57">
        <v>1.5299999999999999E-2</v>
      </c>
      <c r="P8" s="57">
        <v>5.2999999999999999E-2</v>
      </c>
      <c r="Q8" s="57">
        <v>0.12740000000000001</v>
      </c>
      <c r="R8" s="57">
        <v>5.3800000000000001E-2</v>
      </c>
      <c r="S8" s="57">
        <v>3.39E-2</v>
      </c>
    </row>
    <row r="9" spans="2:19" ht="15" x14ac:dyDescent="0.2">
      <c r="B9" s="4">
        <v>4</v>
      </c>
      <c r="C9" s="57">
        <v>1.3899999999999999E-2</v>
      </c>
      <c r="D9" s="57">
        <v>2.9700000000000001E-2</v>
      </c>
      <c r="E9" s="57">
        <v>0</v>
      </c>
      <c r="F9" s="57">
        <v>6.6299999999999998E-2</v>
      </c>
      <c r="G9" s="57">
        <v>0.1613</v>
      </c>
      <c r="I9" s="56">
        <v>4</v>
      </c>
      <c r="J9" s="57">
        <v>1.3899999999999999E-2</v>
      </c>
      <c r="K9" s="57">
        <v>2.9700000000000001E-2</v>
      </c>
      <c r="L9" s="57">
        <v>3.2199999999999999E-2</v>
      </c>
      <c r="M9" s="57">
        <v>0</v>
      </c>
      <c r="N9" s="57">
        <v>6.6299999999999998E-2</v>
      </c>
      <c r="O9" s="57">
        <v>3.1600000000000003E-2</v>
      </c>
      <c r="P9" s="57">
        <v>3.6799999999999999E-2</v>
      </c>
      <c r="Q9" s="57">
        <v>0.1613</v>
      </c>
      <c r="R9" s="57">
        <v>3.32E-2</v>
      </c>
      <c r="S9" s="57">
        <v>4.1200000000000001E-2</v>
      </c>
    </row>
    <row r="10" spans="2:19" ht="15" x14ac:dyDescent="0.2">
      <c r="B10" s="4">
        <v>5</v>
      </c>
      <c r="C10" s="57">
        <v>4.3099999999999999E-2</v>
      </c>
      <c r="D10" s="57">
        <v>2.4400000000000002E-2</v>
      </c>
      <c r="E10" s="57">
        <v>3.6700000000000003E-2</v>
      </c>
      <c r="F10" s="57">
        <v>4.5900000000000003E-2</v>
      </c>
      <c r="G10" s="57">
        <v>7.8899999999999998E-2</v>
      </c>
      <c r="I10" s="56">
        <v>5</v>
      </c>
      <c r="J10" s="57">
        <v>4.3099999999999999E-2</v>
      </c>
      <c r="K10" s="57">
        <v>2.4400000000000002E-2</v>
      </c>
      <c r="L10" s="57">
        <v>2.2499999999999999E-2</v>
      </c>
      <c r="M10" s="57">
        <v>3.6700000000000003E-2</v>
      </c>
      <c r="N10" s="57">
        <v>4.5900000000000003E-2</v>
      </c>
      <c r="O10" s="57">
        <v>1.9199999999999998E-2</v>
      </c>
      <c r="P10" s="57">
        <v>3.9600000000000003E-2</v>
      </c>
      <c r="Q10" s="57">
        <v>7.8899999999999998E-2</v>
      </c>
      <c r="R10" s="57">
        <v>2.7300000000000001E-2</v>
      </c>
      <c r="S10" s="57">
        <v>6.88E-2</v>
      </c>
    </row>
    <row r="11" spans="2:19" ht="15" x14ac:dyDescent="0.2">
      <c r="B11" s="4">
        <v>6</v>
      </c>
      <c r="C11" s="57">
        <v>3.5700000000000003E-2</v>
      </c>
      <c r="D11" s="57">
        <v>4.7699999999999999E-2</v>
      </c>
      <c r="E11" s="57">
        <v>3.5200000000000002E-2</v>
      </c>
      <c r="F11" s="57">
        <v>5.21E-2</v>
      </c>
      <c r="G11" s="57">
        <v>9.4700000000000006E-2</v>
      </c>
      <c r="I11" s="56">
        <v>6</v>
      </c>
      <c r="J11" s="57">
        <v>3.5700000000000003E-2</v>
      </c>
      <c r="K11" s="57">
        <v>4.7699999999999999E-2</v>
      </c>
      <c r="L11" s="57">
        <v>3.5999999999999997E-2</v>
      </c>
      <c r="M11" s="57">
        <v>3.5200000000000002E-2</v>
      </c>
      <c r="N11" s="57">
        <v>5.21E-2</v>
      </c>
      <c r="O11" s="57">
        <v>1.9900000000000001E-2</v>
      </c>
      <c r="P11" s="57">
        <v>2.8799999999999999E-2</v>
      </c>
      <c r="Q11" s="57">
        <v>9.4700000000000006E-2</v>
      </c>
      <c r="R11" s="57">
        <v>3.7499999999999999E-2</v>
      </c>
      <c r="S11" s="57">
        <v>3.5200000000000002E-2</v>
      </c>
    </row>
    <row r="12" spans="2:19" ht="15" x14ac:dyDescent="0.2">
      <c r="B12" s="4">
        <v>7</v>
      </c>
      <c r="C12" s="57">
        <v>2.64E-2</v>
      </c>
      <c r="D12" s="57">
        <v>2.6800000000000001E-2</v>
      </c>
      <c r="E12" s="57">
        <v>0.14660000000000001</v>
      </c>
      <c r="F12" s="57">
        <v>5.1900000000000002E-2</v>
      </c>
      <c r="G12" s="57">
        <v>3.8199999999999998E-2</v>
      </c>
      <c r="I12" s="56">
        <v>7</v>
      </c>
      <c r="J12" s="57">
        <v>2.64E-2</v>
      </c>
      <c r="K12" s="57">
        <v>2.6800000000000001E-2</v>
      </c>
      <c r="L12" s="57">
        <v>4.6899999999999997E-2</v>
      </c>
      <c r="M12" s="57">
        <v>0.14660000000000001</v>
      </c>
      <c r="N12" s="57">
        <v>5.1900000000000002E-2</v>
      </c>
      <c r="O12" s="57">
        <v>2.5600000000000001E-2</v>
      </c>
      <c r="P12" s="57">
        <v>-6.7000000000000002E-3</v>
      </c>
      <c r="Q12" s="57">
        <v>3.8199999999999998E-2</v>
      </c>
      <c r="R12" s="57">
        <v>4.9299999999999997E-2</v>
      </c>
      <c r="S12" s="57">
        <v>-3.0999999999999999E-3</v>
      </c>
    </row>
    <row r="13" spans="2:19" ht="15" x14ac:dyDescent="0.2">
      <c r="B13" s="4">
        <v>8</v>
      </c>
      <c r="C13" s="57">
        <v>7.7000000000000002E-3</v>
      </c>
      <c r="D13" s="57">
        <v>1.6400000000000001E-2</v>
      </c>
      <c r="E13" s="57">
        <v>7.1800000000000003E-2</v>
      </c>
      <c r="F13" s="57">
        <v>4.2900000000000001E-2</v>
      </c>
      <c r="G13" s="57">
        <v>-4.4999999999999997E-3</v>
      </c>
      <c r="I13" s="56">
        <v>8</v>
      </c>
      <c r="J13" s="57">
        <v>7.7000000000000002E-3</v>
      </c>
      <c r="K13" s="57">
        <v>1.6400000000000001E-2</v>
      </c>
      <c r="L13" s="57">
        <v>1.6799999999999999E-2</v>
      </c>
      <c r="M13" s="57">
        <v>7.1800000000000003E-2</v>
      </c>
      <c r="N13" s="57">
        <v>4.2900000000000001E-2</v>
      </c>
      <c r="O13" s="57">
        <v>1.52E-2</v>
      </c>
      <c r="P13" s="57">
        <v>7.8100000000000003E-2</v>
      </c>
      <c r="Q13" s="57">
        <v>-4.4999999999999997E-3</v>
      </c>
      <c r="R13" s="57">
        <v>3.3399999999999999E-2</v>
      </c>
      <c r="S13" s="57">
        <v>7.9399999999999998E-2</v>
      </c>
    </row>
    <row r="14" spans="2:19" ht="15" x14ac:dyDescent="0.2">
      <c r="B14" s="4">
        <v>9</v>
      </c>
      <c r="C14" s="57">
        <v>4.2599999999999999E-2</v>
      </c>
      <c r="D14" s="57">
        <v>3.2199999999999999E-2</v>
      </c>
      <c r="E14" s="57">
        <v>3.6499999999999998E-2</v>
      </c>
      <c r="F14" s="57">
        <v>3.39E-2</v>
      </c>
      <c r="G14" s="57">
        <v>7.0499999999999993E-2</v>
      </c>
      <c r="I14" s="56">
        <v>9</v>
      </c>
      <c r="J14" s="57">
        <v>4.2599999999999999E-2</v>
      </c>
      <c r="K14" s="57">
        <v>3.2199999999999999E-2</v>
      </c>
      <c r="L14" s="57">
        <v>1.0200000000000001E-2</v>
      </c>
      <c r="M14" s="57">
        <v>3.6499999999999998E-2</v>
      </c>
      <c r="N14" s="57">
        <v>3.39E-2</v>
      </c>
      <c r="O14" s="57">
        <v>2.7400000000000001E-2</v>
      </c>
      <c r="P14" s="57">
        <v>1.1900000000000001E-2</v>
      </c>
      <c r="Q14" s="57">
        <v>7.0499999999999993E-2</v>
      </c>
      <c r="R14" s="57">
        <v>3.3500000000000002E-2</v>
      </c>
      <c r="S14" s="57">
        <v>3.9800000000000002E-2</v>
      </c>
    </row>
    <row r="15" spans="2:19" ht="15" x14ac:dyDescent="0.2">
      <c r="B15" s="4">
        <v>10</v>
      </c>
      <c r="C15" s="57">
        <v>2.1700000000000001E-2</v>
      </c>
      <c r="D15" s="57">
        <v>3.0800000000000001E-2</v>
      </c>
      <c r="E15" s="57">
        <v>-4.1000000000000003E-3</v>
      </c>
      <c r="F15" s="57">
        <v>5.1200000000000002E-2</v>
      </c>
      <c r="G15" s="57">
        <v>1.3100000000000001E-2</v>
      </c>
      <c r="I15" s="56">
        <v>10</v>
      </c>
      <c r="J15" s="57">
        <v>2.1700000000000001E-2</v>
      </c>
      <c r="K15" s="57">
        <v>3.0800000000000001E-2</v>
      </c>
      <c r="L15" s="57">
        <v>1.6000000000000001E-3</v>
      </c>
      <c r="M15" s="57">
        <v>-4.1000000000000003E-3</v>
      </c>
      <c r="N15" s="57">
        <v>5.1200000000000002E-2</v>
      </c>
      <c r="O15" s="57">
        <v>1.7899999999999999E-2</v>
      </c>
      <c r="P15" s="57">
        <v>5.4199999999999998E-2</v>
      </c>
      <c r="Q15" s="57">
        <v>1.3100000000000001E-2</v>
      </c>
      <c r="R15" s="57">
        <v>2.8500000000000001E-2</v>
      </c>
      <c r="S15" s="57">
        <v>8.0000000000000004E-4</v>
      </c>
    </row>
    <row r="16" spans="2:19" ht="15" x14ac:dyDescent="0.2">
      <c r="B16" s="4">
        <v>11</v>
      </c>
      <c r="C16" s="57">
        <v>2.6599999999999999E-2</v>
      </c>
      <c r="D16" s="57">
        <v>4.7000000000000002E-3</v>
      </c>
      <c r="E16" s="57">
        <v>0.13100000000000001</v>
      </c>
      <c r="F16" s="57">
        <v>4.1200000000000001E-2</v>
      </c>
      <c r="G16" s="57">
        <v>9.3600000000000003E-2</v>
      </c>
      <c r="I16" s="56">
        <v>11</v>
      </c>
      <c r="J16" s="57">
        <v>2.6599999999999999E-2</v>
      </c>
      <c r="K16" s="57">
        <v>4.7000000000000002E-3</v>
      </c>
      <c r="L16" s="57">
        <v>3.0599999999999999E-2</v>
      </c>
      <c r="M16" s="57">
        <v>0.13100000000000001</v>
      </c>
      <c r="N16" s="57">
        <v>4.1200000000000001E-2</v>
      </c>
      <c r="O16" s="57">
        <v>1.3599999999999999E-2</v>
      </c>
      <c r="P16" s="57">
        <v>1.6799999999999999E-2</v>
      </c>
      <c r="Q16" s="57">
        <v>9.3600000000000003E-2</v>
      </c>
      <c r="R16" s="57">
        <v>9.1000000000000004E-3</v>
      </c>
      <c r="S16" s="57">
        <v>7.4000000000000003E-3</v>
      </c>
    </row>
    <row r="17" spans="2:19" ht="15" x14ac:dyDescent="0.2">
      <c r="B17" s="4">
        <v>12</v>
      </c>
      <c r="C17" s="57">
        <v>2.5000000000000001E-2</v>
      </c>
      <c r="D17" s="57">
        <v>2.0199999999999999E-2</v>
      </c>
      <c r="E17" s="57">
        <v>6.2199999999999998E-2</v>
      </c>
      <c r="F17" s="57">
        <v>3.9600000000000003E-2</v>
      </c>
      <c r="G17" s="57">
        <v>9.5000000000000001E-2</v>
      </c>
      <c r="I17" s="56">
        <v>12</v>
      </c>
      <c r="J17" s="57">
        <v>2.5000000000000001E-2</v>
      </c>
      <c r="K17" s="57">
        <v>2.0199999999999999E-2</v>
      </c>
      <c r="L17" s="57">
        <v>8.3000000000000001E-3</v>
      </c>
      <c r="M17" s="57">
        <v>6.2199999999999998E-2</v>
      </c>
      <c r="N17" s="57">
        <v>3.9600000000000003E-2</v>
      </c>
      <c r="O17" s="57">
        <v>1.6899999999999998E-2</v>
      </c>
      <c r="P17" s="57">
        <v>1.55E-2</v>
      </c>
      <c r="Q17" s="57">
        <v>9.5000000000000001E-2</v>
      </c>
      <c r="R17" s="57">
        <v>-1.9400000000000001E-2</v>
      </c>
      <c r="S17" s="57">
        <v>3.3700000000000001E-2</v>
      </c>
    </row>
    <row r="18" spans="2:19" x14ac:dyDescent="0.2">
      <c r="B18" s="4" t="s">
        <v>2</v>
      </c>
      <c r="C18" s="6">
        <f>AVERAGE(C6:C17)</f>
        <v>3.0741666666666667E-2</v>
      </c>
      <c r="D18" s="6">
        <f>AVERAGE(D6:D17)</f>
        <v>2.6683333333333326E-2</v>
      </c>
      <c r="E18" s="6">
        <f>AVERAGE(E6:E17)</f>
        <v>5.0999999999999997E-2</v>
      </c>
      <c r="F18" s="6">
        <f>AVERAGE(F6:F17)</f>
        <v>4.1091666666666672E-2</v>
      </c>
      <c r="G18" s="6">
        <f>AVERAGE(G6:G17)</f>
        <v>7.2000000000000008E-2</v>
      </c>
    </row>
    <row r="20" spans="2:19" ht="14.25" x14ac:dyDescent="0.2">
      <c r="B20" s="18" t="s">
        <v>3</v>
      </c>
      <c r="C20" s="18"/>
      <c r="D20" s="18"/>
      <c r="E20" s="18"/>
      <c r="F20" s="18"/>
      <c r="G20" s="18" t="s">
        <v>32</v>
      </c>
    </row>
    <row r="21" spans="2:19" x14ac:dyDescent="0.2">
      <c r="B21" s="4" t="s">
        <v>1</v>
      </c>
      <c r="C21" s="4">
        <f>C5</f>
        <v>1</v>
      </c>
      <c r="D21" s="4">
        <f t="shared" ref="D21:G21" si="0">D5</f>
        <v>2</v>
      </c>
      <c r="E21" s="4">
        <f t="shared" si="0"/>
        <v>4</v>
      </c>
      <c r="F21" s="4">
        <f t="shared" si="0"/>
        <v>5</v>
      </c>
      <c r="G21" s="4">
        <f t="shared" si="0"/>
        <v>8</v>
      </c>
    </row>
    <row r="22" spans="2:19" x14ac:dyDescent="0.2">
      <c r="B22" s="4">
        <v>1</v>
      </c>
      <c r="C22" s="5">
        <f>C6-$C$18</f>
        <v>1.2158333333333333E-2</v>
      </c>
      <c r="D22" s="5">
        <f>D6-$D$18</f>
        <v>-2.5833333333333264E-3</v>
      </c>
      <c r="E22" s="5">
        <f>E6-$E$18</f>
        <v>-8.3999999999999977E-3</v>
      </c>
      <c r="F22" s="5">
        <f>F6-$F$18</f>
        <v>-3.1591666666666671E-2</v>
      </c>
      <c r="G22" s="5">
        <f>G6-$G$18</f>
        <v>-2.9100000000000008E-2</v>
      </c>
    </row>
    <row r="23" spans="2:19" x14ac:dyDescent="0.2">
      <c r="B23" s="4">
        <v>2</v>
      </c>
      <c r="C23" s="5">
        <f t="shared" ref="C23:C33" si="1">C7-$C$18</f>
        <v>3.3658333333333332E-2</v>
      </c>
      <c r="D23" s="5">
        <f t="shared" ref="D23:D33" si="2">D7-$D$18</f>
        <v>7.2166666666666733E-3</v>
      </c>
      <c r="E23" s="5">
        <f t="shared" ref="E23:E33" si="3">E7-$E$18</f>
        <v>2.6600000000000006E-2</v>
      </c>
      <c r="F23" s="5">
        <f t="shared" ref="F23:F33" si="4">F7-$F$18</f>
        <v>-4.3391666666666676E-2</v>
      </c>
      <c r="G23" s="5">
        <f t="shared" ref="G23:G33" si="5">G7-$G$18</f>
        <v>-1.9100000000000006E-2</v>
      </c>
      <c r="I23" t="s">
        <v>10</v>
      </c>
    </row>
    <row r="24" spans="2:19" x14ac:dyDescent="0.2">
      <c r="B24" s="4">
        <v>3</v>
      </c>
      <c r="C24" s="5">
        <f t="shared" si="1"/>
        <v>-1.1841666666666667E-2</v>
      </c>
      <c r="D24" s="5">
        <f t="shared" si="2"/>
        <v>2.6166666666666734E-3</v>
      </c>
      <c r="E24" s="5">
        <f t="shared" si="3"/>
        <v>-7.51E-2</v>
      </c>
      <c r="F24" s="5">
        <f t="shared" si="4"/>
        <v>1.9808333333333331E-2</v>
      </c>
      <c r="G24" s="5">
        <f t="shared" si="5"/>
        <v>5.5400000000000005E-2</v>
      </c>
    </row>
    <row r="25" spans="2:19" x14ac:dyDescent="0.2">
      <c r="B25" s="4">
        <v>4</v>
      </c>
      <c r="C25" s="5">
        <f t="shared" si="1"/>
        <v>-1.6841666666666668E-2</v>
      </c>
      <c r="D25" s="5">
        <f t="shared" si="2"/>
        <v>3.0166666666666744E-3</v>
      </c>
      <c r="E25" s="5">
        <f t="shared" si="3"/>
        <v>-5.0999999999999997E-2</v>
      </c>
      <c r="F25" s="5">
        <f t="shared" si="4"/>
        <v>2.5208333333333326E-2</v>
      </c>
      <c r="G25" s="5">
        <f t="shared" si="5"/>
        <v>8.929999999999999E-2</v>
      </c>
      <c r="I25" t="s">
        <v>9</v>
      </c>
      <c r="J25" t="s">
        <v>8</v>
      </c>
      <c r="K25" t="s">
        <v>13</v>
      </c>
    </row>
    <row r="26" spans="2:19" x14ac:dyDescent="0.2">
      <c r="B26" s="4">
        <v>5</v>
      </c>
      <c r="C26" s="5">
        <f t="shared" si="1"/>
        <v>1.2358333333333332E-2</v>
      </c>
      <c r="D26" s="5">
        <f t="shared" si="2"/>
        <v>-2.2833333333333247E-3</v>
      </c>
      <c r="E26" s="5">
        <f t="shared" si="3"/>
        <v>-1.4299999999999993E-2</v>
      </c>
      <c r="F26" s="5">
        <f t="shared" si="4"/>
        <v>4.8083333333333311E-3</v>
      </c>
      <c r="G26" s="5">
        <f t="shared" si="5"/>
        <v>6.8999999999999895E-3</v>
      </c>
      <c r="I26" s="10">
        <f>MAX(C18:G18)</f>
        <v>7.2000000000000008E-2</v>
      </c>
      <c r="J26" s="10">
        <f>MIN(C18:G18)</f>
        <v>2.6683333333333326E-2</v>
      </c>
      <c r="K26" t="s">
        <v>14</v>
      </c>
    </row>
    <row r="27" spans="2:19" x14ac:dyDescent="0.2">
      <c r="B27" s="4">
        <v>6</v>
      </c>
      <c r="C27" s="5">
        <f t="shared" si="1"/>
        <v>4.9583333333333354E-3</v>
      </c>
      <c r="D27" s="5">
        <f t="shared" si="2"/>
        <v>2.1016666666666673E-2</v>
      </c>
      <c r="E27" s="5">
        <f t="shared" si="3"/>
        <v>-1.5799999999999995E-2</v>
      </c>
      <c r="F27" s="5">
        <f t="shared" si="4"/>
        <v>1.1008333333333328E-2</v>
      </c>
      <c r="G27" s="5">
        <f t="shared" si="5"/>
        <v>2.2699999999999998E-2</v>
      </c>
      <c r="I27" s="1">
        <v>1</v>
      </c>
      <c r="J27" s="12">
        <f>$J$26+(I27-1)*($I$26-$J$26)/9</f>
        <v>2.6683333333333326E-2</v>
      </c>
      <c r="K27" s="24">
        <v>2.6683333333333326E-2</v>
      </c>
      <c r="M27" t="s">
        <v>19</v>
      </c>
    </row>
    <row r="28" spans="2:19" x14ac:dyDescent="0.2">
      <c r="B28" s="4">
        <v>7</v>
      </c>
      <c r="C28" s="5">
        <f t="shared" si="1"/>
        <v>-4.3416666666666673E-3</v>
      </c>
      <c r="D28" s="5">
        <f t="shared" si="2"/>
        <v>1.1666666666667463E-4</v>
      </c>
      <c r="E28" s="5">
        <f t="shared" si="3"/>
        <v>9.5600000000000018E-2</v>
      </c>
      <c r="F28" s="5">
        <f t="shared" si="4"/>
        <v>1.080833333333333E-2</v>
      </c>
      <c r="G28" s="5">
        <f t="shared" si="5"/>
        <v>-3.3800000000000011E-2</v>
      </c>
      <c r="I28" s="1">
        <v>2</v>
      </c>
      <c r="J28" s="12">
        <f t="shared" ref="J28:J36" si="6">$J$26+(I28-1)*($I$26-$J$26)/9</f>
        <v>3.1718518518518514E-2</v>
      </c>
      <c r="K28" s="24">
        <v>3.1718518518518514E-2</v>
      </c>
      <c r="M28" s="13" t="s">
        <v>20</v>
      </c>
      <c r="N28" s="1" t="s">
        <v>21</v>
      </c>
      <c r="O28" s="1" t="s">
        <v>22</v>
      </c>
    </row>
    <row r="29" spans="2:19" x14ac:dyDescent="0.2">
      <c r="B29" s="4">
        <v>8</v>
      </c>
      <c r="C29" s="5">
        <f t="shared" si="1"/>
        <v>-2.3041666666666669E-2</v>
      </c>
      <c r="D29" s="5">
        <f t="shared" si="2"/>
        <v>-1.0283333333333325E-2</v>
      </c>
      <c r="E29" s="5">
        <f t="shared" si="3"/>
        <v>2.0800000000000006E-2</v>
      </c>
      <c r="F29" s="5">
        <f t="shared" si="4"/>
        <v>1.8083333333333285E-3</v>
      </c>
      <c r="G29" s="5">
        <f t="shared" si="5"/>
        <v>-7.6500000000000012E-2</v>
      </c>
      <c r="I29" s="1">
        <v>3</v>
      </c>
      <c r="J29" s="12">
        <f t="shared" si="6"/>
        <v>3.6753703703703705E-2</v>
      </c>
      <c r="K29" s="24">
        <v>3.6753703703703705E-2</v>
      </c>
      <c r="L29" s="7"/>
      <c r="M29" t="s">
        <v>23</v>
      </c>
    </row>
    <row r="30" spans="2:19" x14ac:dyDescent="0.2">
      <c r="B30" s="4">
        <v>9</v>
      </c>
      <c r="C30" s="5">
        <f t="shared" si="1"/>
        <v>1.1858333333333332E-2</v>
      </c>
      <c r="D30" s="5">
        <f t="shared" si="2"/>
        <v>5.5166666666666732E-3</v>
      </c>
      <c r="E30" s="5">
        <f t="shared" si="3"/>
        <v>-1.4499999999999999E-2</v>
      </c>
      <c r="F30" s="5">
        <f t="shared" si="4"/>
        <v>-7.1916666666666726E-3</v>
      </c>
      <c r="G30" s="5">
        <f t="shared" si="5"/>
        <v>-1.5000000000000152E-3</v>
      </c>
      <c r="I30" s="1">
        <v>4</v>
      </c>
      <c r="J30" s="12">
        <f t="shared" si="6"/>
        <v>4.1788888888888889E-2</v>
      </c>
      <c r="K30" s="24">
        <v>4.1788888888888889E-2</v>
      </c>
      <c r="L30" s="7"/>
    </row>
    <row r="31" spans="2:19" x14ac:dyDescent="0.2">
      <c r="B31" s="4">
        <v>10</v>
      </c>
      <c r="C31" s="5">
        <f t="shared" si="1"/>
        <v>-9.0416666666666666E-3</v>
      </c>
      <c r="D31" s="5">
        <f t="shared" si="2"/>
        <v>4.1166666666666747E-3</v>
      </c>
      <c r="E31" s="5">
        <f t="shared" si="3"/>
        <v>-5.5099999999999996E-2</v>
      </c>
      <c r="F31" s="5">
        <f t="shared" si="4"/>
        <v>1.010833333333333E-2</v>
      </c>
      <c r="G31" s="5">
        <f t="shared" si="5"/>
        <v>-5.8900000000000008E-2</v>
      </c>
      <c r="I31" s="1">
        <v>5</v>
      </c>
      <c r="J31" s="12">
        <f t="shared" si="6"/>
        <v>4.6824074074074074E-2</v>
      </c>
      <c r="K31" s="24">
        <v>4.6824074074074074E-2</v>
      </c>
      <c r="L31" s="7"/>
      <c r="M31" s="7"/>
    </row>
    <row r="32" spans="2:19" x14ac:dyDescent="0.2">
      <c r="B32" s="4">
        <v>11</v>
      </c>
      <c r="C32" s="5">
        <f t="shared" si="1"/>
        <v>-4.1416666666666685E-3</v>
      </c>
      <c r="D32" s="5">
        <f t="shared" si="2"/>
        <v>-2.1983333333333327E-2</v>
      </c>
      <c r="E32" s="5">
        <f t="shared" si="3"/>
        <v>8.0000000000000016E-2</v>
      </c>
      <c r="F32" s="5">
        <f t="shared" si="4"/>
        <v>1.0833333333332834E-4</v>
      </c>
      <c r="G32" s="5">
        <f t="shared" si="5"/>
        <v>2.1599999999999994E-2</v>
      </c>
      <c r="I32" s="1">
        <v>6</v>
      </c>
      <c r="J32" s="12">
        <f t="shared" si="6"/>
        <v>5.1859259259259258E-2</v>
      </c>
      <c r="K32" s="24">
        <v>5.1859259259259258E-2</v>
      </c>
      <c r="L32" s="7"/>
      <c r="M32" s="7"/>
    </row>
    <row r="33" spans="1:13" x14ac:dyDescent="0.2">
      <c r="B33" s="4">
        <v>12</v>
      </c>
      <c r="C33" s="5">
        <f t="shared" si="1"/>
        <v>-5.7416666666666658E-3</v>
      </c>
      <c r="D33" s="5">
        <f t="shared" si="2"/>
        <v>-6.4833333333333271E-3</v>
      </c>
      <c r="E33" s="5">
        <f t="shared" si="3"/>
        <v>1.1200000000000002E-2</v>
      </c>
      <c r="F33" s="5">
        <f t="shared" si="4"/>
        <v>-1.4916666666666689E-3</v>
      </c>
      <c r="G33" s="5">
        <f t="shared" si="5"/>
        <v>2.2999999999999993E-2</v>
      </c>
      <c r="I33" s="1">
        <v>7</v>
      </c>
      <c r="J33" s="12">
        <f t="shared" si="6"/>
        <v>5.6894444444444456E-2</v>
      </c>
      <c r="K33" s="24">
        <v>5.6894444444444456E-2</v>
      </c>
      <c r="L33" s="7"/>
      <c r="M33" s="7"/>
    </row>
    <row r="34" spans="1:13" x14ac:dyDescent="0.2">
      <c r="B34" s="4" t="s">
        <v>2</v>
      </c>
      <c r="C34" s="6">
        <f>AVERAGE(C22:C33)</f>
        <v>-8.6736173798840355E-19</v>
      </c>
      <c r="D34" s="6">
        <f>AVERAGE(D22:D33)</f>
        <v>7.2280144832366967E-18</v>
      </c>
      <c r="E34" s="6">
        <f>AVERAGE(E22:E33)</f>
        <v>5.7824115865893572E-18</v>
      </c>
      <c r="F34" s="6">
        <f>AVERAGE(F22:F33)</f>
        <v>-4.6259292692714853E-18</v>
      </c>
      <c r="G34" s="6">
        <f>AVERAGE(G22:G33)</f>
        <v>-8.0953762212251003E-18</v>
      </c>
      <c r="I34" s="1">
        <v>8</v>
      </c>
      <c r="J34" s="12">
        <f t="shared" si="6"/>
        <v>6.192962962962964E-2</v>
      </c>
      <c r="K34" s="24">
        <v>6.192962962962964E-2</v>
      </c>
      <c r="L34" s="7"/>
      <c r="M34" s="7"/>
    </row>
    <row r="35" spans="1:13" x14ac:dyDescent="0.2">
      <c r="I35" s="1">
        <v>9</v>
      </c>
      <c r="J35" s="12">
        <f t="shared" si="6"/>
        <v>6.6964814814814824E-2</v>
      </c>
      <c r="K35" s="24">
        <v>6.6964814814814824E-2</v>
      </c>
      <c r="L35" s="7"/>
      <c r="M35" s="7"/>
    </row>
    <row r="36" spans="1:13" x14ac:dyDescent="0.2">
      <c r="I36" s="1">
        <v>10</v>
      </c>
      <c r="J36" s="12">
        <f t="shared" si="6"/>
        <v>7.2000000000000008E-2</v>
      </c>
      <c r="K36" s="24">
        <v>7.2000000000000008E-2</v>
      </c>
      <c r="L36" s="7"/>
      <c r="M36" s="7"/>
    </row>
    <row r="37" spans="1:13" ht="14.25" x14ac:dyDescent="0.2">
      <c r="B37" s="18" t="s">
        <v>4</v>
      </c>
      <c r="C37" s="18"/>
      <c r="D37" s="18"/>
      <c r="E37" s="18"/>
      <c r="F37" s="18"/>
      <c r="G37" s="18" t="s">
        <v>33</v>
      </c>
      <c r="L37" s="7"/>
      <c r="M37" s="7"/>
    </row>
    <row r="38" spans="1:13" x14ac:dyDescent="0.2">
      <c r="B38" s="3">
        <f>COVAR(C22:C33,$C$22:$C$33)</f>
        <v>2.2534576388888886E-4</v>
      </c>
      <c r="C38" s="3">
        <f>COVAR(D22:D33,$C$22:$C$33)</f>
        <v>4.9883194444444449E-5</v>
      </c>
      <c r="D38" s="3">
        <f>COVAR(E22:E33,$C$22:$C$33)</f>
        <v>1.1021916666666667E-4</v>
      </c>
      <c r="E38" s="3">
        <f>COVAR(F22:F33,$C$22:$C$33)</f>
        <v>-2.2057131944444442E-4</v>
      </c>
      <c r="F38" s="3">
        <f>COVAR(G22:G33,$C$22:$C$33)</f>
        <v>-6.3013333333333281E-5</v>
      </c>
      <c r="G38" s="1">
        <f>SUMPRODUCT(B38:F38,$A$46:$E$46)</f>
        <v>-6.3013333333333281E-5</v>
      </c>
      <c r="H38" s="1"/>
      <c r="L38" s="7"/>
      <c r="M38" s="7"/>
    </row>
    <row r="39" spans="1:13" x14ac:dyDescent="0.2">
      <c r="B39" s="3">
        <f>COVAR(C22:C33,$D$22:$D$33)</f>
        <v>4.9883194444444449E-5</v>
      </c>
      <c r="C39" s="3">
        <f>COVAR(D22:D33,$D$22:$D$33)</f>
        <v>1.0000472222222223E-4</v>
      </c>
      <c r="D39" s="3">
        <f>COVAR(E22:E33,$D$22:$D$33)</f>
        <v>-2.3141250000000002E-4</v>
      </c>
      <c r="E39" s="3">
        <f>COVAR(F22:F33,$D$22:$D$33)</f>
        <v>9.0515277777777803E-6</v>
      </c>
      <c r="F39" s="3">
        <f>COVAR(G22:G33,$D$22:$D$33)</f>
        <v>6.0086666666666655E-5</v>
      </c>
      <c r="G39" s="1">
        <f>SUMPRODUCT(B39:F39,$A$46:$E$46)</f>
        <v>6.0086666666666655E-5</v>
      </c>
      <c r="H39" s="1"/>
      <c r="M39" s="7"/>
    </row>
    <row r="40" spans="1:13" x14ac:dyDescent="0.2">
      <c r="B40" s="3">
        <f>COVAR(C22:C33,$E$22:$E$33)</f>
        <v>1.1021916666666667E-4</v>
      </c>
      <c r="C40" s="3">
        <f>COVAR(D22:D33,$E$22:$E$33)</f>
        <v>-2.3141250000000002E-4</v>
      </c>
      <c r="D40" s="3">
        <f>COVAR(E22:E33,$E$22:$E$33)</f>
        <v>2.4014133333333338E-3</v>
      </c>
      <c r="E40" s="3">
        <f>COVAR(F22:F33,$E$22:$E$33)</f>
        <v>-2.7455083333333331E-4</v>
      </c>
      <c r="F40" s="3">
        <f>COVAR(G22:G33,$E$22:$E$33)</f>
        <v>-7.5046083333333332E-4</v>
      </c>
      <c r="G40" s="1">
        <f>SUMPRODUCT(B40:F40,$A$46:$E$46)</f>
        <v>-7.5046083333333332E-4</v>
      </c>
      <c r="H40" s="1"/>
      <c r="K40" s="7"/>
      <c r="M40" s="7"/>
    </row>
    <row r="41" spans="1:13" x14ac:dyDescent="0.2">
      <c r="B41" s="3">
        <f>COVAR(C22:C33,$F$22:$F$33)</f>
        <v>-2.2057131944444442E-4</v>
      </c>
      <c r="C41" s="3">
        <f>COVAR(D22:D33,$F$22:$F$33)</f>
        <v>9.0515277777777803E-6</v>
      </c>
      <c r="D41" s="3">
        <f>COVAR(E22:E33,$F$22:$F$33)</f>
        <v>-2.7455083333333331E-4</v>
      </c>
      <c r="E41" s="3">
        <f>COVAR(F22:F33,$F$22:$F$33)</f>
        <v>3.6076909722222223E-4</v>
      </c>
      <c r="F41" s="3">
        <f>COVAR(G22:G33,$F$22:$F$33)</f>
        <v>3.5495249999999997E-4</v>
      </c>
      <c r="G41" s="1">
        <f>SUMPRODUCT(B41:F41,$A$46:$E$46)</f>
        <v>3.5495249999999997E-4</v>
      </c>
      <c r="H41" s="1"/>
      <c r="K41" s="7"/>
    </row>
    <row r="42" spans="1:13" x14ac:dyDescent="0.2">
      <c r="B42" s="3">
        <f>COVAR(C22:C33,$G$22:$G$33)</f>
        <v>-6.3013333333333281E-5</v>
      </c>
      <c r="C42" s="3">
        <f>COVAR(D22:D33,$G$22:$G$33)</f>
        <v>6.0086666666666655E-5</v>
      </c>
      <c r="D42" s="3">
        <f>COVAR(E22:E33,$G$22:$G$33)</f>
        <v>-7.5046083333333332E-4</v>
      </c>
      <c r="E42" s="3">
        <f>COVAR(F22:F33,$G$22:$G$33)</f>
        <v>3.5495249999999997E-4</v>
      </c>
      <c r="F42" s="3">
        <f>COVAR(G22:G33,$G$22:$G$33)</f>
        <v>2.0233233333333336E-3</v>
      </c>
      <c r="G42" s="1">
        <f>SUMPRODUCT(B42:F42,$A$46:$E$46)</f>
        <v>2.0233233333333336E-3</v>
      </c>
      <c r="H42" s="1"/>
      <c r="K42" s="7"/>
    </row>
    <row r="43" spans="1:13" x14ac:dyDescent="0.2">
      <c r="I43" s="24">
        <v>1.8408333333333336E-2</v>
      </c>
      <c r="K43" s="7"/>
    </row>
    <row r="44" spans="1:13" x14ac:dyDescent="0.2">
      <c r="K44" s="7"/>
    </row>
    <row r="45" spans="1:13" ht="14.25" x14ac:dyDescent="0.2">
      <c r="A45" s="18" t="s">
        <v>35</v>
      </c>
      <c r="B45" s="18"/>
      <c r="C45" s="18"/>
      <c r="D45" s="18"/>
      <c r="E45" s="18"/>
      <c r="F45" s="18"/>
      <c r="G45" s="18" t="s">
        <v>34</v>
      </c>
      <c r="K45" s="7"/>
    </row>
    <row r="46" spans="1:13" x14ac:dyDescent="0.2">
      <c r="A46" s="11">
        <v>0</v>
      </c>
      <c r="B46" s="11">
        <v>0</v>
      </c>
      <c r="C46" s="11">
        <v>0</v>
      </c>
      <c r="D46" s="11">
        <v>0</v>
      </c>
      <c r="E46" s="11">
        <v>1</v>
      </c>
      <c r="F46" s="1">
        <f>SUM(A46:E46)</f>
        <v>1</v>
      </c>
      <c r="G46" s="1">
        <v>1</v>
      </c>
      <c r="K46" s="7"/>
    </row>
    <row r="47" spans="1:13" x14ac:dyDescent="0.2">
      <c r="F47" s="15" t="s">
        <v>24</v>
      </c>
      <c r="G47" s="1" t="s">
        <v>5</v>
      </c>
      <c r="K47" s="7"/>
    </row>
    <row r="48" spans="1:13" x14ac:dyDescent="0.2">
      <c r="B48" t="s">
        <v>48</v>
      </c>
      <c r="F48" s="6">
        <f>SUMPRODUCT(C18:G18,A46:E46)</f>
        <v>7.2000000000000008E-2</v>
      </c>
      <c r="G48" s="25">
        <v>7.2000000000000008E-2</v>
      </c>
      <c r="I48" t="s">
        <v>26</v>
      </c>
      <c r="K48" s="7"/>
    </row>
    <row r="49" spans="1:12" x14ac:dyDescent="0.2">
      <c r="B49" t="s">
        <v>49</v>
      </c>
      <c r="F49" t="s">
        <v>6</v>
      </c>
      <c r="G49" s="14" t="s">
        <v>25</v>
      </c>
      <c r="I49" t="s">
        <v>31</v>
      </c>
      <c r="K49" s="7"/>
    </row>
    <row r="50" spans="1:12" x14ac:dyDescent="0.2">
      <c r="F50">
        <f>MMULT(A46:E46,G38:G42)</f>
        <v>2.0233233333333336E-3</v>
      </c>
      <c r="G50" s="2">
        <f>1.96*SQRT(F50)</f>
        <v>8.8163478364532186E-2</v>
      </c>
    </row>
    <row r="52" spans="1:12" ht="18.75" x14ac:dyDescent="0.3">
      <c r="B52" s="19" t="s">
        <v>29</v>
      </c>
      <c r="C52" s="19"/>
      <c r="D52" s="19"/>
      <c r="E52" s="19"/>
      <c r="F52" s="19"/>
      <c r="G52" s="19"/>
      <c r="H52" s="19"/>
      <c r="I52" s="19" t="s">
        <v>30</v>
      </c>
      <c r="J52" s="20"/>
    </row>
    <row r="53" spans="1:12" ht="17.25" customHeight="1" x14ac:dyDescent="0.2">
      <c r="A53" s="4" t="s">
        <v>18</v>
      </c>
      <c r="B53" s="4">
        <f>C21</f>
        <v>1</v>
      </c>
      <c r="C53" s="4">
        <f t="shared" ref="C53:F53" si="7">D21</f>
        <v>2</v>
      </c>
      <c r="D53" s="4">
        <f t="shared" si="7"/>
        <v>4</v>
      </c>
      <c r="E53" s="4">
        <f t="shared" si="7"/>
        <v>5</v>
      </c>
      <c r="F53" s="4">
        <f t="shared" si="7"/>
        <v>8</v>
      </c>
      <c r="G53" s="17" t="s">
        <v>24</v>
      </c>
      <c r="H53" s="16" t="s">
        <v>25</v>
      </c>
      <c r="I53" s="4" t="s">
        <v>7</v>
      </c>
      <c r="J53" s="4" t="s">
        <v>15</v>
      </c>
    </row>
    <row r="54" spans="1:12" x14ac:dyDescent="0.2">
      <c r="A54" s="4">
        <v>1</v>
      </c>
      <c r="B54" s="59">
        <v>0.44234252324362877</v>
      </c>
      <c r="C54" s="59">
        <v>0.1307058801802492</v>
      </c>
      <c r="D54" s="59">
        <v>4.7219828564526847E-2</v>
      </c>
      <c r="E54" s="59">
        <v>0.37973176801159531</v>
      </c>
      <c r="F54" s="59">
        <v>0</v>
      </c>
      <c r="G54" s="26">
        <v>2.6683333333333326E-2</v>
      </c>
      <c r="H54" s="25">
        <v>1.0305661607450502E-2</v>
      </c>
      <c r="I54" s="6">
        <f>G54-H54</f>
        <v>1.6377671725882822E-2</v>
      </c>
      <c r="J54" s="6">
        <f>G54+H54</f>
        <v>3.698899494078383E-2</v>
      </c>
      <c r="L54" t="s">
        <v>27</v>
      </c>
    </row>
    <row r="55" spans="1:12" x14ac:dyDescent="0.2">
      <c r="A55" s="4">
        <v>2</v>
      </c>
      <c r="B55" s="59">
        <v>0.44234252324362877</v>
      </c>
      <c r="C55" s="59">
        <v>0.1307058801802492</v>
      </c>
      <c r="D55" s="59">
        <v>4.7219828564526847E-2</v>
      </c>
      <c r="E55" s="59">
        <v>0.37973176801159531</v>
      </c>
      <c r="F55" s="59">
        <v>0</v>
      </c>
      <c r="G55" s="25">
        <v>3.1718518518518514E-2</v>
      </c>
      <c r="H55" s="25">
        <v>1.0305661607450502E-2</v>
      </c>
      <c r="I55" s="6">
        <f t="shared" ref="I55:I63" si="8">G55-H55</f>
        <v>2.1412856911068014E-2</v>
      </c>
      <c r="J55" s="6">
        <f t="shared" ref="J55:J63" si="9">G55+H55</f>
        <v>4.2024180125969014E-2</v>
      </c>
      <c r="L55" t="s">
        <v>28</v>
      </c>
    </row>
    <row r="56" spans="1:12" x14ac:dyDescent="0.2">
      <c r="A56" s="4">
        <v>3</v>
      </c>
      <c r="B56" s="59">
        <v>0.49322145602596196</v>
      </c>
      <c r="C56" s="59">
        <v>0</v>
      </c>
      <c r="D56" s="59">
        <v>5.4889398420989007E-2</v>
      </c>
      <c r="E56" s="59">
        <v>0.44467372311841658</v>
      </c>
      <c r="F56" s="59">
        <v>7.2154224346325209E-3</v>
      </c>
      <c r="G56" s="25">
        <v>3.6753703703703705E-2</v>
      </c>
      <c r="H56" s="25">
        <v>1.0832251149536242E-2</v>
      </c>
      <c r="I56" s="6">
        <f t="shared" si="8"/>
        <v>2.5921452554167463E-2</v>
      </c>
      <c r="J56" s="6">
        <f t="shared" si="9"/>
        <v>4.7585954853239951E-2</v>
      </c>
    </row>
    <row r="57" spans="1:12" x14ac:dyDescent="0.2">
      <c r="A57" s="4">
        <v>4</v>
      </c>
      <c r="B57" s="59">
        <v>0.37765302716026677</v>
      </c>
      <c r="C57" s="59">
        <v>0</v>
      </c>
      <c r="D57" s="59">
        <v>0.1158366689659576</v>
      </c>
      <c r="E57" s="59">
        <v>0.39462518126337559</v>
      </c>
      <c r="F57" s="59">
        <v>0.11188512261039998</v>
      </c>
      <c r="G57" s="25">
        <v>4.1788888888888889E-2</v>
      </c>
      <c r="H57" s="25">
        <v>1.6542871705834912E-2</v>
      </c>
      <c r="I57" s="6">
        <f t="shared" si="8"/>
        <v>2.5246017183053977E-2</v>
      </c>
      <c r="J57" s="6">
        <f t="shared" si="9"/>
        <v>5.8331760594723801E-2</v>
      </c>
      <c r="K57" t="s">
        <v>99</v>
      </c>
    </row>
    <row r="58" spans="1:12" x14ac:dyDescent="0.2">
      <c r="A58" s="53">
        <v>5</v>
      </c>
      <c r="B58" s="59">
        <v>0.26206504770623634</v>
      </c>
      <c r="C58" s="59">
        <v>0</v>
      </c>
      <c r="D58" s="59">
        <v>0.17678195823072854</v>
      </c>
      <c r="E58" s="59">
        <v>0.34460407993051029</v>
      </c>
      <c r="F58" s="59">
        <v>0.21654891413252481</v>
      </c>
      <c r="G58" s="25">
        <v>4.6824074074074074E-2</v>
      </c>
      <c r="H58" s="25">
        <v>2.4286246864932703E-2</v>
      </c>
      <c r="I58" s="52">
        <f t="shared" si="8"/>
        <v>2.2537827209141371E-2</v>
      </c>
      <c r="J58" s="52">
        <f t="shared" si="9"/>
        <v>7.111032093900678E-2</v>
      </c>
    </row>
    <row r="59" spans="1:12" x14ac:dyDescent="0.2">
      <c r="A59" s="4">
        <v>6</v>
      </c>
      <c r="B59" s="59">
        <v>0.14647706592831447</v>
      </c>
      <c r="C59" s="59">
        <v>0</v>
      </c>
      <c r="D59" s="59">
        <v>0.23772724796971198</v>
      </c>
      <c r="E59" s="59">
        <v>0.2945829813708859</v>
      </c>
      <c r="F59" s="59">
        <v>0.32121270473108759</v>
      </c>
      <c r="G59" s="25">
        <v>5.1859259259259258E-2</v>
      </c>
      <c r="H59" s="25">
        <v>3.2646641618566813E-2</v>
      </c>
      <c r="I59" s="6">
        <f t="shared" si="8"/>
        <v>1.9212617640692445E-2</v>
      </c>
      <c r="J59" s="6">
        <f t="shared" si="9"/>
        <v>8.4505900877826071E-2</v>
      </c>
    </row>
    <row r="60" spans="1:12" x14ac:dyDescent="0.2">
      <c r="A60" s="4">
        <v>7</v>
      </c>
      <c r="B60" s="59">
        <v>3.0888976086065983E-2</v>
      </c>
      <c r="C60" s="59">
        <v>0</v>
      </c>
      <c r="D60" s="59">
        <v>0.2986725454352801</v>
      </c>
      <c r="E60" s="59">
        <v>0.24456202109207772</v>
      </c>
      <c r="F60" s="59">
        <v>0.42587645738657604</v>
      </c>
      <c r="G60" s="25">
        <v>5.6894444444444456E-2</v>
      </c>
      <c r="H60" s="25">
        <v>4.1250586347241457E-2</v>
      </c>
      <c r="I60" s="6">
        <f t="shared" si="8"/>
        <v>1.5643858097202999E-2</v>
      </c>
      <c r="J60" s="6">
        <f t="shared" si="9"/>
        <v>9.8145030791685905E-2</v>
      </c>
    </row>
    <row r="61" spans="1:12" x14ac:dyDescent="0.2">
      <c r="A61" s="4">
        <v>8</v>
      </c>
      <c r="B61" s="59">
        <v>0</v>
      </c>
      <c r="C61" s="59">
        <v>0</v>
      </c>
      <c r="D61" s="59">
        <v>0.34671397913817731</v>
      </c>
      <c r="E61" s="59">
        <v>9.0246757594772534E-2</v>
      </c>
      <c r="F61" s="59">
        <v>0.56303926326705023</v>
      </c>
      <c r="G61" s="25">
        <v>6.192962962962964E-2</v>
      </c>
      <c r="H61" s="25">
        <v>5.0312258628205271E-2</v>
      </c>
      <c r="I61" s="6">
        <f t="shared" si="8"/>
        <v>1.1617371001424369E-2</v>
      </c>
      <c r="J61" s="6">
        <f t="shared" si="9"/>
        <v>0.1122418882578349</v>
      </c>
    </row>
    <row r="62" spans="1:12" x14ac:dyDescent="0.2">
      <c r="A62" s="4">
        <v>9</v>
      </c>
      <c r="B62" s="59">
        <v>0</v>
      </c>
      <c r="C62" s="59">
        <v>0</v>
      </c>
      <c r="D62" s="59">
        <v>0.23977072310405684</v>
      </c>
      <c r="E62" s="59">
        <v>0</v>
      </c>
      <c r="F62" s="59">
        <v>0.76022927689594333</v>
      </c>
      <c r="G62" s="25">
        <v>6.6964814814814824E-2</v>
      </c>
      <c r="H62" s="25">
        <v>6.3020780629708006E-2</v>
      </c>
      <c r="I62" s="6">
        <f t="shared" si="8"/>
        <v>3.9440341851068178E-3</v>
      </c>
      <c r="J62" s="6">
        <f t="shared" si="9"/>
        <v>0.12998559544452282</v>
      </c>
    </row>
    <row r="63" spans="1:12" x14ac:dyDescent="0.2">
      <c r="A63" s="4">
        <v>10</v>
      </c>
      <c r="B63" s="59">
        <v>0</v>
      </c>
      <c r="C63" s="59">
        <v>0</v>
      </c>
      <c r="D63" s="59">
        <v>2.6723104056782506E-5</v>
      </c>
      <c r="E63" s="59">
        <v>0</v>
      </c>
      <c r="F63" s="59">
        <v>0.9999732768959434</v>
      </c>
      <c r="G63" s="25">
        <v>7.2000000000000008E-2</v>
      </c>
      <c r="H63" s="25">
        <v>8.8160248542801162E-2</v>
      </c>
      <c r="I63" s="6">
        <f t="shared" si="8"/>
        <v>-1.6160248542801153E-2</v>
      </c>
      <c r="J63" s="6">
        <f t="shared" si="9"/>
        <v>0.16016024854280117</v>
      </c>
    </row>
    <row r="65" spans="1:15" ht="18.75" x14ac:dyDescent="0.2">
      <c r="A65" s="21" t="s">
        <v>100</v>
      </c>
    </row>
    <row r="66" spans="1:15" ht="18.75" x14ac:dyDescent="0.2">
      <c r="A66" s="21" t="s">
        <v>36</v>
      </c>
      <c r="H66" s="23" t="s">
        <v>40</v>
      </c>
      <c r="I66" s="48">
        <v>3</v>
      </c>
      <c r="J66" s="32" t="s">
        <v>47</v>
      </c>
      <c r="K66" s="23"/>
      <c r="L66" s="23"/>
      <c r="M66" s="23"/>
    </row>
    <row r="67" spans="1:15" ht="18.75" x14ac:dyDescent="0.2">
      <c r="A67" s="21" t="s">
        <v>101</v>
      </c>
      <c r="H67" s="23" t="s">
        <v>54</v>
      </c>
      <c r="I67" s="23">
        <f>B53</f>
        <v>1</v>
      </c>
      <c r="J67" s="23">
        <f t="shared" ref="J67:M67" si="10">C53</f>
        <v>2</v>
      </c>
      <c r="K67" s="23">
        <f t="shared" si="10"/>
        <v>4</v>
      </c>
      <c r="L67" s="23">
        <f t="shared" si="10"/>
        <v>5</v>
      </c>
      <c r="M67" s="23">
        <f t="shared" si="10"/>
        <v>8</v>
      </c>
      <c r="N67" t="s">
        <v>42</v>
      </c>
      <c r="O67" s="22" t="s">
        <v>43</v>
      </c>
    </row>
    <row r="68" spans="1:15" ht="15" x14ac:dyDescent="0.2">
      <c r="H68" s="23" t="s">
        <v>41</v>
      </c>
      <c r="I68" s="48">
        <f>B56*100</f>
        <v>49.322145602596194</v>
      </c>
      <c r="J68" s="48">
        <f>C56*100</f>
        <v>0</v>
      </c>
      <c r="K68" s="48">
        <f>D56*100</f>
        <v>5.4889398420989011</v>
      </c>
      <c r="L68" s="48">
        <f>E56*100</f>
        <v>44.467372311841658</v>
      </c>
      <c r="M68" s="48">
        <f>F56*100</f>
        <v>0.72154224346325213</v>
      </c>
      <c r="N68" s="49">
        <f>SUM(I68:M68)</f>
        <v>100</v>
      </c>
      <c r="O68" s="50">
        <v>100</v>
      </c>
    </row>
    <row r="69" spans="1:15" ht="18.75" x14ac:dyDescent="0.2">
      <c r="A69" s="21" t="s">
        <v>37</v>
      </c>
      <c r="H69" s="23" t="s">
        <v>44</v>
      </c>
      <c r="I69" s="23" t="s">
        <v>46</v>
      </c>
      <c r="J69" s="58">
        <f>G56</f>
        <v>3.6753703703703705E-2</v>
      </c>
      <c r="K69" s="23" t="s">
        <v>45</v>
      </c>
      <c r="L69" s="33">
        <f>J69*4</f>
        <v>0.14701481481481482</v>
      </c>
      <c r="M69" s="23"/>
      <c r="N69" s="23" t="s">
        <v>45</v>
      </c>
      <c r="O69" s="51">
        <f>J69*4</f>
        <v>0.14701481481481482</v>
      </c>
    </row>
    <row r="70" spans="1:15" ht="18.75" x14ac:dyDescent="0.2">
      <c r="A70" s="21" t="s">
        <v>38</v>
      </c>
      <c r="H70" s="23" t="s">
        <v>25</v>
      </c>
      <c r="I70" s="23" t="s">
        <v>46</v>
      </c>
      <c r="J70" s="58">
        <f>H56</f>
        <v>1.0832251149536242E-2</v>
      </c>
      <c r="K70" s="23" t="s">
        <v>45</v>
      </c>
      <c r="L70" s="33">
        <f>J70*4</f>
        <v>4.3329004598144968E-2</v>
      </c>
      <c r="M70" s="23"/>
      <c r="N70" s="23" t="s">
        <v>45</v>
      </c>
      <c r="O70" s="51">
        <f t="shared" ref="O70:O71" si="11">J70*4</f>
        <v>4.3329004598144968E-2</v>
      </c>
    </row>
    <row r="71" spans="1:15" ht="18.75" x14ac:dyDescent="0.2">
      <c r="A71" s="21" t="s">
        <v>39</v>
      </c>
      <c r="H71" s="23" t="s">
        <v>98</v>
      </c>
      <c r="I71" s="23" t="s">
        <v>46</v>
      </c>
      <c r="J71" s="58">
        <f>I56</f>
        <v>2.5921452554167463E-2</v>
      </c>
      <c r="K71" s="23" t="s">
        <v>45</v>
      </c>
      <c r="L71" s="33">
        <f>J71*4</f>
        <v>0.10368581021666985</v>
      </c>
      <c r="M71" s="23"/>
      <c r="N71" s="23" t="s">
        <v>45</v>
      </c>
      <c r="O71" s="51">
        <f t="shared" si="11"/>
        <v>0.10368581021666985</v>
      </c>
    </row>
    <row r="73" spans="1:15" ht="15" x14ac:dyDescent="0.2">
      <c r="F73" s="28"/>
      <c r="G73" s="29"/>
      <c r="H73" s="27" t="s">
        <v>50</v>
      </c>
      <c r="I73" s="28"/>
      <c r="J73" s="28"/>
    </row>
    <row r="74" spans="1:15" ht="18.75" x14ac:dyDescent="0.3">
      <c r="B74" s="29" t="s">
        <v>97</v>
      </c>
      <c r="C74" s="28"/>
      <c r="D74" s="28"/>
      <c r="F74" s="19" t="s">
        <v>51</v>
      </c>
    </row>
    <row r="75" spans="1:15" ht="18.75" x14ac:dyDescent="0.3">
      <c r="F75" s="30" t="s">
        <v>52</v>
      </c>
    </row>
    <row r="76" spans="1:15" ht="18.75" x14ac:dyDescent="0.3">
      <c r="F76" s="31" t="s">
        <v>53</v>
      </c>
    </row>
  </sheetData>
  <phoneticPr fontId="1" type="noConversion"/>
  <pageMargins left="0.98425196850393704" right="0.78740157480314965" top="0.39370078740157483" bottom="0.39370078740157483" header="0.31496062992125984" footer="0.51181102362204722"/>
  <pageSetup paperSize="9"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5"/>
  <sheetViews>
    <sheetView topLeftCell="A64" workbookViewId="0">
      <selection activeCell="A3" sqref="A3"/>
    </sheetView>
  </sheetViews>
  <sheetFormatPr defaultRowHeight="12.75" x14ac:dyDescent="0.2"/>
  <cols>
    <col min="1" max="1" width="10.28515625" customWidth="1"/>
  </cols>
  <sheetData>
    <row r="1" spans="1:14" x14ac:dyDescent="0.2">
      <c r="A1" s="37" t="s">
        <v>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">
      <c r="A2" t="s">
        <v>103</v>
      </c>
    </row>
    <row r="11" spans="1:14" x14ac:dyDescent="0.2">
      <c r="A11" t="s">
        <v>57</v>
      </c>
    </row>
    <row r="15" spans="1:14" x14ac:dyDescent="0.2">
      <c r="A15" t="s">
        <v>62</v>
      </c>
      <c r="J15" s="39" t="s">
        <v>65</v>
      </c>
    </row>
    <row r="16" spans="1:14" x14ac:dyDescent="0.2">
      <c r="A16" s="15" t="s">
        <v>61</v>
      </c>
      <c r="B16" s="15"/>
      <c r="C16" s="15"/>
      <c r="D16" s="15"/>
    </row>
    <row r="17" spans="1:9" x14ac:dyDescent="0.2">
      <c r="A17" s="62" t="s">
        <v>66</v>
      </c>
      <c r="B17" s="62"/>
      <c r="C17" s="62"/>
      <c r="D17" s="62"/>
      <c r="E17" s="62"/>
      <c r="F17" s="62"/>
      <c r="G17" s="62"/>
    </row>
    <row r="18" spans="1:9" x14ac:dyDescent="0.2">
      <c r="A18" s="62"/>
      <c r="B18" s="62"/>
      <c r="C18" s="62"/>
      <c r="D18" s="62"/>
      <c r="E18" s="62"/>
      <c r="F18" s="62"/>
      <c r="G18" s="62"/>
    </row>
    <row r="19" spans="1:9" x14ac:dyDescent="0.2">
      <c r="A19" s="62"/>
      <c r="B19" s="62"/>
      <c r="C19" s="62"/>
      <c r="D19" s="62"/>
      <c r="E19" s="62"/>
      <c r="F19" s="62"/>
      <c r="G19" s="62"/>
    </row>
    <row r="20" spans="1:9" x14ac:dyDescent="0.2">
      <c r="A20" s="62"/>
      <c r="B20" s="62"/>
      <c r="C20" s="62"/>
      <c r="D20" s="62"/>
      <c r="E20" s="62"/>
      <c r="F20" s="62"/>
      <c r="G20" s="62"/>
    </row>
    <row r="21" spans="1:9" x14ac:dyDescent="0.2">
      <c r="A21" s="62"/>
      <c r="B21" s="62"/>
      <c r="C21" s="62"/>
      <c r="D21" s="62"/>
      <c r="E21" s="62"/>
      <c r="F21" s="62"/>
      <c r="G21" s="62"/>
    </row>
    <row r="22" spans="1:9" x14ac:dyDescent="0.2">
      <c r="A22" s="62"/>
      <c r="B22" s="62"/>
      <c r="C22" s="62"/>
      <c r="D22" s="62"/>
      <c r="E22" s="62"/>
      <c r="F22" s="62"/>
      <c r="G22" s="62"/>
    </row>
    <row r="23" spans="1:9" x14ac:dyDescent="0.2">
      <c r="A23" s="62"/>
      <c r="B23" s="62"/>
      <c r="C23" s="62"/>
      <c r="D23" s="62"/>
      <c r="E23" s="62"/>
      <c r="F23" s="62"/>
      <c r="G23" s="62"/>
    </row>
    <row r="24" spans="1:9" x14ac:dyDescent="0.2">
      <c r="A24" s="62"/>
      <c r="B24" s="62"/>
      <c r="C24" s="62"/>
      <c r="D24" s="62"/>
      <c r="E24" s="62"/>
      <c r="F24" s="62"/>
      <c r="G24" s="62"/>
    </row>
    <row r="25" spans="1:9" x14ac:dyDescent="0.2">
      <c r="A25" s="62"/>
      <c r="B25" s="62"/>
      <c r="C25" s="62"/>
      <c r="D25" s="62"/>
      <c r="E25" s="62"/>
      <c r="F25" s="62"/>
      <c r="G25" s="62"/>
    </row>
    <row r="26" spans="1:9" x14ac:dyDescent="0.2">
      <c r="A26" s="62"/>
      <c r="B26" s="62"/>
      <c r="C26" s="62"/>
      <c r="D26" s="62"/>
      <c r="E26" s="62"/>
      <c r="F26" s="62"/>
      <c r="G26" s="62"/>
    </row>
    <row r="27" spans="1:9" x14ac:dyDescent="0.2">
      <c r="A27" s="62"/>
      <c r="B27" s="62"/>
      <c r="C27" s="62"/>
      <c r="D27" s="62"/>
      <c r="E27" s="62"/>
      <c r="F27" s="62"/>
      <c r="G27" s="62"/>
    </row>
    <row r="28" spans="1:9" x14ac:dyDescent="0.2">
      <c r="A28" s="62"/>
      <c r="B28" s="62"/>
      <c r="C28" s="62"/>
      <c r="D28" s="62"/>
      <c r="E28" s="62"/>
      <c r="F28" s="62"/>
      <c r="G28" s="62"/>
    </row>
    <row r="29" spans="1:9" x14ac:dyDescent="0.2">
      <c r="A29" s="62"/>
      <c r="B29" s="62"/>
      <c r="C29" s="62"/>
      <c r="D29" s="62"/>
      <c r="E29" s="62"/>
      <c r="F29" s="62"/>
      <c r="G29" s="62"/>
    </row>
    <row r="31" spans="1:9" x14ac:dyDescent="0.2">
      <c r="A31" t="s">
        <v>58</v>
      </c>
    </row>
    <row r="32" spans="1:9" x14ac:dyDescent="0.2">
      <c r="A32" s="15" t="s">
        <v>67</v>
      </c>
      <c r="B32" s="15"/>
      <c r="C32" s="15"/>
      <c r="D32" s="15"/>
      <c r="E32" s="15"/>
      <c r="F32" s="15"/>
      <c r="G32" s="15"/>
      <c r="H32" s="15"/>
      <c r="I32" s="15"/>
    </row>
    <row r="42" spans="1:10" x14ac:dyDescent="0.2">
      <c r="A42" t="s">
        <v>59</v>
      </c>
    </row>
    <row r="43" spans="1:10" x14ac:dyDescent="0.2">
      <c r="A43" s="15" t="s">
        <v>63</v>
      </c>
      <c r="B43" s="15"/>
      <c r="C43" s="15"/>
      <c r="D43" s="15"/>
      <c r="E43" s="15"/>
      <c r="F43" s="15"/>
      <c r="G43" s="15"/>
      <c r="H43" s="15"/>
      <c r="I43" s="15"/>
      <c r="J43" s="15"/>
    </row>
    <row r="45" spans="1:10" ht="13.15" customHeight="1" x14ac:dyDescent="0.2">
      <c r="A45" s="63" t="s">
        <v>68</v>
      </c>
      <c r="B45" s="63"/>
      <c r="C45" s="63"/>
      <c r="D45" s="63"/>
      <c r="E45" s="63"/>
      <c r="F45" s="63"/>
      <c r="G45" s="63"/>
      <c r="H45" s="63"/>
      <c r="I45" s="63"/>
      <c r="J45" s="63"/>
    </row>
    <row r="46" spans="1:10" ht="13.15" customHeight="1" x14ac:dyDescent="0.2">
      <c r="A46" s="63"/>
      <c r="B46" s="63"/>
      <c r="C46" s="63"/>
      <c r="D46" s="63"/>
      <c r="E46" s="63"/>
      <c r="F46" s="63"/>
      <c r="G46" s="63"/>
      <c r="H46" s="63"/>
      <c r="I46" s="63"/>
      <c r="J46" s="63"/>
    </row>
    <row r="47" spans="1:10" ht="13.15" customHeight="1" x14ac:dyDescent="0.2">
      <c r="A47" s="63"/>
      <c r="B47" s="63"/>
      <c r="C47" s="63"/>
      <c r="D47" s="63"/>
      <c r="E47" s="63"/>
      <c r="F47" s="63"/>
      <c r="G47" s="63"/>
      <c r="H47" s="63"/>
      <c r="I47" s="63"/>
      <c r="J47" s="63"/>
    </row>
    <row r="48" spans="1:10" ht="13.15" customHeight="1" x14ac:dyDescent="0.2">
      <c r="A48" s="63"/>
      <c r="B48" s="63"/>
      <c r="C48" s="63"/>
      <c r="D48" s="63"/>
      <c r="E48" s="63"/>
      <c r="F48" s="63"/>
      <c r="G48" s="63"/>
      <c r="H48" s="63"/>
      <c r="I48" s="63"/>
      <c r="J48" s="63"/>
    </row>
    <row r="49" spans="1:14" ht="13.15" customHeight="1" x14ac:dyDescent="0.2">
      <c r="A49" s="63"/>
      <c r="B49" s="63"/>
      <c r="C49" s="63"/>
      <c r="D49" s="63"/>
      <c r="E49" s="63"/>
      <c r="F49" s="63"/>
      <c r="G49" s="63"/>
      <c r="H49" s="63"/>
      <c r="I49" s="63"/>
      <c r="J49" s="63"/>
    </row>
    <row r="50" spans="1:14" ht="13.15" customHeight="1" x14ac:dyDescent="0.2">
      <c r="A50" s="63"/>
      <c r="B50" s="63"/>
      <c r="C50" s="63"/>
      <c r="D50" s="63"/>
      <c r="E50" s="63"/>
      <c r="F50" s="63"/>
      <c r="G50" s="63"/>
      <c r="H50" s="63"/>
      <c r="I50" s="63"/>
      <c r="J50" s="63"/>
    </row>
    <row r="51" spans="1:14" ht="13.15" customHeight="1" x14ac:dyDescent="0.2">
      <c r="A51" s="63"/>
      <c r="B51" s="63"/>
      <c r="C51" s="63"/>
      <c r="D51" s="63"/>
      <c r="E51" s="63"/>
      <c r="F51" s="63"/>
      <c r="G51" s="63"/>
      <c r="H51" s="63"/>
      <c r="I51" s="63"/>
      <c r="J51" s="63"/>
    </row>
    <row r="52" spans="1:14" ht="13.15" customHeight="1" x14ac:dyDescent="0.2">
      <c r="A52" s="63"/>
      <c r="B52" s="63"/>
      <c r="C52" s="63"/>
      <c r="D52" s="63"/>
      <c r="E52" s="63"/>
      <c r="F52" s="63"/>
      <c r="G52" s="63"/>
      <c r="H52" s="63"/>
      <c r="I52" s="63"/>
      <c r="J52" s="63"/>
    </row>
    <row r="53" spans="1:14" ht="13.15" customHeight="1" x14ac:dyDescent="0.2">
      <c r="A53" s="63"/>
      <c r="B53" s="63"/>
      <c r="C53" s="63"/>
      <c r="D53" s="63"/>
      <c r="E53" s="63"/>
      <c r="F53" s="63"/>
      <c r="G53" s="63"/>
      <c r="H53" s="63"/>
      <c r="I53" s="63"/>
      <c r="J53" s="63"/>
    </row>
    <row r="54" spans="1:14" ht="13.15" customHeight="1" x14ac:dyDescent="0.2">
      <c r="A54" s="63"/>
      <c r="B54" s="63"/>
      <c r="C54" s="63"/>
      <c r="D54" s="63"/>
      <c r="E54" s="63"/>
      <c r="F54" s="63"/>
      <c r="G54" s="63"/>
      <c r="H54" s="63"/>
      <c r="I54" s="63"/>
      <c r="J54" s="63"/>
    </row>
    <row r="55" spans="1:14" ht="13.15" customHeight="1" x14ac:dyDescent="0.2">
      <c r="A55" s="63"/>
      <c r="B55" s="63"/>
      <c r="C55" s="63"/>
      <c r="D55" s="63"/>
      <c r="E55" s="63"/>
      <c r="F55" s="63"/>
      <c r="G55" s="63"/>
      <c r="H55" s="63"/>
      <c r="I55" s="63"/>
      <c r="J55" s="63"/>
    </row>
    <row r="56" spans="1:14" ht="13.15" customHeight="1" x14ac:dyDescent="0.2">
      <c r="A56" s="63"/>
      <c r="B56" s="63"/>
      <c r="C56" s="63"/>
      <c r="D56" s="63"/>
      <c r="E56" s="63"/>
      <c r="F56" s="63"/>
      <c r="G56" s="63"/>
      <c r="H56" s="63"/>
      <c r="I56" s="63"/>
      <c r="J56" s="63"/>
    </row>
    <row r="57" spans="1:14" ht="13.15" customHeight="1" x14ac:dyDescent="0.2">
      <c r="A57" s="63"/>
      <c r="B57" s="63"/>
      <c r="C57" s="63"/>
      <c r="D57" s="63"/>
      <c r="E57" s="63"/>
      <c r="F57" s="63"/>
      <c r="G57" s="63"/>
      <c r="H57" s="63"/>
      <c r="I57" s="63"/>
      <c r="J57" s="63"/>
    </row>
    <row r="58" spans="1:14" ht="13.15" customHeight="1" x14ac:dyDescent="0.2">
      <c r="A58" s="63"/>
      <c r="B58" s="63"/>
      <c r="C58" s="63"/>
      <c r="D58" s="63"/>
      <c r="E58" s="63"/>
      <c r="F58" s="63"/>
      <c r="G58" s="63"/>
      <c r="H58" s="63"/>
      <c r="I58" s="63"/>
      <c r="J58" s="63"/>
    </row>
    <row r="59" spans="1:14" ht="13.15" customHeight="1" x14ac:dyDescent="0.2">
      <c r="A59" s="63"/>
      <c r="B59" s="63"/>
      <c r="C59" s="63"/>
      <c r="D59" s="63"/>
      <c r="E59" s="63"/>
      <c r="F59" s="63"/>
      <c r="G59" s="63"/>
      <c r="H59" s="63"/>
      <c r="I59" s="63"/>
      <c r="J59" s="63"/>
    </row>
    <row r="61" spans="1:14" x14ac:dyDescent="0.2">
      <c r="A61" s="15" t="s">
        <v>64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4" ht="5.45" customHeight="1" x14ac:dyDescent="0.2"/>
    <row r="63" spans="1:14" x14ac:dyDescent="0.2">
      <c r="A63" s="64" t="s">
        <v>69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</row>
    <row r="64" spans="1:14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</row>
    <row r="65" spans="1:14" x14ac:dyDescent="0.2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</row>
    <row r="66" spans="1:14" x14ac:dyDescent="0.2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</row>
    <row r="67" spans="1:14" x14ac:dyDescent="0.2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</row>
    <row r="68" spans="1:14" x14ac:dyDescent="0.2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</row>
    <row r="69" spans="1:14" x14ac:dyDescent="0.2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</row>
    <row r="70" spans="1:14" x14ac:dyDescent="0.2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</row>
    <row r="71" spans="1:14" ht="25.15" customHeight="1" x14ac:dyDescent="0.2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</row>
    <row r="93" spans="2:2" x14ac:dyDescent="0.2">
      <c r="B93" t="s">
        <v>70</v>
      </c>
    </row>
    <row r="94" spans="2:2" x14ac:dyDescent="0.2">
      <c r="B94" t="s">
        <v>71</v>
      </c>
    </row>
    <row r="95" spans="2:2" x14ac:dyDescent="0.2">
      <c r="B95" t="s">
        <v>102</v>
      </c>
    </row>
  </sheetData>
  <mergeCells count="3">
    <mergeCell ref="A17:G29"/>
    <mergeCell ref="A45:J59"/>
    <mergeCell ref="A63:N71"/>
  </mergeCells>
  <hyperlinks>
    <hyperlink ref="J15" r:id="rId1" xr:uid="{00000000-0004-0000-0200-000000000000}"/>
  </hyperlinks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 sizeWithCells="1">
              <from>
                <xdr:col>3</xdr:col>
                <xdr:colOff>0</xdr:colOff>
                <xdr:row>10</xdr:row>
                <xdr:rowOff>0</xdr:rowOff>
              </from>
              <to>
                <xdr:col>4</xdr:col>
                <xdr:colOff>438150</xdr:colOff>
                <xdr:row>10</xdr:row>
                <xdr:rowOff>19050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2"/>
  <sheetViews>
    <sheetView workbookViewId="0">
      <selection activeCell="N11" sqref="N11"/>
    </sheetView>
  </sheetViews>
  <sheetFormatPr defaultRowHeight="12.75" x14ac:dyDescent="0.2"/>
  <cols>
    <col min="1" max="1" width="10.28515625" customWidth="1"/>
  </cols>
  <sheetData>
    <row r="1" spans="1:15" ht="14.25" x14ac:dyDescent="0.2">
      <c r="A1" s="45" t="s">
        <v>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5" x14ac:dyDescent="0.2">
      <c r="B2" t="s">
        <v>81</v>
      </c>
      <c r="G2" s="46" t="s">
        <v>86</v>
      </c>
      <c r="H2" s="46"/>
      <c r="I2" s="46"/>
      <c r="J2" s="46"/>
      <c r="K2" s="46"/>
      <c r="L2" s="46"/>
      <c r="M2" s="46"/>
      <c r="N2" s="46"/>
      <c r="O2" s="46"/>
    </row>
    <row r="3" spans="1:15" x14ac:dyDescent="0.2">
      <c r="J3" s="37" t="s">
        <v>88</v>
      </c>
      <c r="K3" s="37"/>
      <c r="L3" s="37"/>
      <c r="M3" s="37"/>
    </row>
    <row r="11" spans="1:15" x14ac:dyDescent="0.2">
      <c r="B11" t="s">
        <v>70</v>
      </c>
      <c r="L11" t="s">
        <v>82</v>
      </c>
      <c r="N11" s="43">
        <f>SUMPRODUCT(B15:K34,B40:K59)/1000</f>
        <v>1.712</v>
      </c>
      <c r="O11" t="s">
        <v>84</v>
      </c>
    </row>
    <row r="12" spans="1:15" x14ac:dyDescent="0.2">
      <c r="B12" t="s">
        <v>71</v>
      </c>
      <c r="G12" s="38" t="s">
        <v>85</v>
      </c>
      <c r="H12" s="38"/>
      <c r="I12" s="38"/>
      <c r="J12" s="38"/>
      <c r="K12" s="38"/>
    </row>
    <row r="13" spans="1:15" x14ac:dyDescent="0.2">
      <c r="B13" t="s">
        <v>72</v>
      </c>
    </row>
    <row r="14" spans="1:15" x14ac:dyDescent="0.2">
      <c r="A14" s="3" t="s">
        <v>73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t="s">
        <v>74</v>
      </c>
      <c r="N14" t="s">
        <v>77</v>
      </c>
    </row>
    <row r="15" spans="1:15" x14ac:dyDescent="0.2">
      <c r="A15" s="4">
        <v>1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60</v>
      </c>
      <c r="I15" s="40">
        <v>0</v>
      </c>
      <c r="J15" s="40">
        <v>0</v>
      </c>
      <c r="K15" s="40">
        <v>0</v>
      </c>
      <c r="L15" s="41">
        <f>SUM(B15:K15)</f>
        <v>60</v>
      </c>
      <c r="M15" s="1" t="s">
        <v>78</v>
      </c>
      <c r="N15" s="41">
        <v>60</v>
      </c>
    </row>
    <row r="16" spans="1:15" x14ac:dyDescent="0.2">
      <c r="A16" s="4">
        <v>2</v>
      </c>
      <c r="B16" s="40">
        <v>0</v>
      </c>
      <c r="C16" s="40">
        <v>0</v>
      </c>
      <c r="D16" s="40">
        <v>0</v>
      </c>
      <c r="E16" s="40">
        <v>40</v>
      </c>
      <c r="F16" s="40">
        <v>0</v>
      </c>
      <c r="G16" s="40">
        <v>0</v>
      </c>
      <c r="H16" s="40">
        <v>6</v>
      </c>
      <c r="I16" s="40">
        <v>9</v>
      </c>
      <c r="J16" s="40">
        <v>0</v>
      </c>
      <c r="K16" s="40">
        <v>0</v>
      </c>
      <c r="L16" s="41">
        <f t="shared" ref="L16:L34" si="0">SUM(B16:K16)</f>
        <v>55</v>
      </c>
      <c r="M16" s="1" t="s">
        <v>78</v>
      </c>
      <c r="N16" s="41">
        <v>55</v>
      </c>
    </row>
    <row r="17" spans="1:14" x14ac:dyDescent="0.2">
      <c r="A17" s="4">
        <v>3</v>
      </c>
      <c r="B17" s="40">
        <v>0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50</v>
      </c>
      <c r="L17" s="41">
        <f t="shared" si="0"/>
        <v>50</v>
      </c>
      <c r="M17" s="1" t="s">
        <v>78</v>
      </c>
      <c r="N17" s="41">
        <v>50</v>
      </c>
    </row>
    <row r="18" spans="1:14" x14ac:dyDescent="0.2">
      <c r="A18" s="4">
        <v>4</v>
      </c>
      <c r="B18" s="40">
        <v>0</v>
      </c>
      <c r="C18" s="40">
        <v>0</v>
      </c>
      <c r="D18" s="40">
        <v>0</v>
      </c>
      <c r="E18" s="40">
        <v>0</v>
      </c>
      <c r="F18" s="40">
        <v>50</v>
      </c>
      <c r="G18" s="40">
        <v>10</v>
      </c>
      <c r="H18" s="40">
        <v>0</v>
      </c>
      <c r="I18" s="40">
        <v>0</v>
      </c>
      <c r="J18" s="40">
        <v>0</v>
      </c>
      <c r="K18" s="40">
        <v>0</v>
      </c>
      <c r="L18" s="41">
        <f t="shared" si="0"/>
        <v>60</v>
      </c>
      <c r="M18" s="1" t="s">
        <v>78</v>
      </c>
      <c r="N18" s="41">
        <v>60</v>
      </c>
    </row>
    <row r="19" spans="1:14" x14ac:dyDescent="0.2">
      <c r="A19" s="4">
        <v>5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40">
        <v>14</v>
      </c>
      <c r="H19" s="40">
        <v>0</v>
      </c>
      <c r="I19" s="40">
        <v>0</v>
      </c>
      <c r="J19" s="40">
        <v>0</v>
      </c>
      <c r="K19" s="40">
        <v>46</v>
      </c>
      <c r="L19" s="41">
        <f t="shared" si="0"/>
        <v>60</v>
      </c>
      <c r="M19" s="1" t="s">
        <v>78</v>
      </c>
      <c r="N19" s="41">
        <v>60</v>
      </c>
    </row>
    <row r="20" spans="1:14" x14ac:dyDescent="0.2">
      <c r="A20" s="4">
        <v>6</v>
      </c>
      <c r="B20" s="40">
        <v>0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55</v>
      </c>
      <c r="K20" s="40">
        <v>0</v>
      </c>
      <c r="L20" s="41">
        <f t="shared" si="0"/>
        <v>55</v>
      </c>
      <c r="M20" s="1" t="s">
        <v>78</v>
      </c>
      <c r="N20" s="41">
        <v>55</v>
      </c>
    </row>
    <row r="21" spans="1:14" x14ac:dyDescent="0.2">
      <c r="A21" s="4">
        <v>7</v>
      </c>
      <c r="B21" s="40">
        <v>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15</v>
      </c>
      <c r="J21" s="40">
        <v>35</v>
      </c>
      <c r="K21" s="40">
        <v>0</v>
      </c>
      <c r="L21" s="41">
        <f t="shared" si="0"/>
        <v>50</v>
      </c>
      <c r="M21" s="1" t="s">
        <v>78</v>
      </c>
      <c r="N21" s="41">
        <v>50</v>
      </c>
    </row>
    <row r="22" spans="1:14" x14ac:dyDescent="0.2">
      <c r="A22" s="4">
        <v>8</v>
      </c>
      <c r="B22" s="40">
        <v>0</v>
      </c>
      <c r="C22" s="40">
        <v>0</v>
      </c>
      <c r="D22" s="40">
        <v>0</v>
      </c>
      <c r="E22" s="40">
        <v>0</v>
      </c>
      <c r="F22" s="40">
        <v>0</v>
      </c>
      <c r="G22" s="40">
        <v>13</v>
      </c>
      <c r="H22" s="40">
        <v>0</v>
      </c>
      <c r="I22" s="40">
        <v>32</v>
      </c>
      <c r="J22" s="40">
        <v>0</v>
      </c>
      <c r="K22" s="40">
        <v>0</v>
      </c>
      <c r="L22" s="41">
        <f t="shared" si="0"/>
        <v>45</v>
      </c>
      <c r="M22" s="1" t="s">
        <v>78</v>
      </c>
      <c r="N22" s="41">
        <v>45</v>
      </c>
    </row>
    <row r="23" spans="1:14" x14ac:dyDescent="0.2">
      <c r="A23" s="4">
        <v>9</v>
      </c>
      <c r="B23" s="40">
        <v>6</v>
      </c>
      <c r="C23" s="40">
        <v>0</v>
      </c>
      <c r="D23" s="40">
        <v>15</v>
      </c>
      <c r="E23" s="40">
        <v>0</v>
      </c>
      <c r="F23" s="40">
        <v>0</v>
      </c>
      <c r="G23" s="40">
        <v>19</v>
      </c>
      <c r="H23" s="40">
        <v>0</v>
      </c>
      <c r="I23" s="40">
        <v>0</v>
      </c>
      <c r="J23" s="40">
        <v>0</v>
      </c>
      <c r="K23" s="40">
        <v>0</v>
      </c>
      <c r="L23" s="41">
        <f t="shared" si="0"/>
        <v>40</v>
      </c>
      <c r="M23" s="1" t="s">
        <v>78</v>
      </c>
      <c r="N23" s="41">
        <v>40</v>
      </c>
    </row>
    <row r="24" spans="1:14" x14ac:dyDescent="0.2">
      <c r="A24" s="4">
        <v>10</v>
      </c>
      <c r="B24" s="40">
        <v>0</v>
      </c>
      <c r="C24" s="40">
        <v>20</v>
      </c>
      <c r="D24" s="40">
        <v>15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1">
        <f t="shared" si="0"/>
        <v>35</v>
      </c>
      <c r="M24" s="1" t="s">
        <v>78</v>
      </c>
      <c r="N24" s="41">
        <v>35</v>
      </c>
    </row>
    <row r="25" spans="1:14" x14ac:dyDescent="0.2">
      <c r="A25" s="4">
        <v>11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4</v>
      </c>
      <c r="J25" s="40">
        <v>0</v>
      </c>
      <c r="K25" s="40">
        <v>0</v>
      </c>
      <c r="L25" s="41">
        <f t="shared" si="0"/>
        <v>4</v>
      </c>
      <c r="M25" s="1" t="s">
        <v>78</v>
      </c>
      <c r="N25" s="41">
        <v>4</v>
      </c>
    </row>
    <row r="26" spans="1:14" x14ac:dyDescent="0.2">
      <c r="A26" s="4">
        <v>12</v>
      </c>
      <c r="B26" s="40">
        <v>0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4</v>
      </c>
      <c r="J26" s="40">
        <v>0</v>
      </c>
      <c r="K26" s="40">
        <v>0</v>
      </c>
      <c r="L26" s="41">
        <f t="shared" si="0"/>
        <v>4</v>
      </c>
      <c r="M26" s="1" t="s">
        <v>78</v>
      </c>
      <c r="N26" s="41">
        <v>4</v>
      </c>
    </row>
    <row r="27" spans="1:14" x14ac:dyDescent="0.2">
      <c r="A27" s="4">
        <v>13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4</v>
      </c>
      <c r="J27" s="40">
        <v>0</v>
      </c>
      <c r="K27" s="40">
        <v>0</v>
      </c>
      <c r="L27" s="41">
        <f t="shared" si="0"/>
        <v>4</v>
      </c>
      <c r="M27" s="1" t="s">
        <v>78</v>
      </c>
      <c r="N27" s="41">
        <v>4</v>
      </c>
    </row>
    <row r="28" spans="1:14" x14ac:dyDescent="0.2">
      <c r="A28" s="4">
        <v>14</v>
      </c>
      <c r="B28" s="40">
        <v>0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4</v>
      </c>
      <c r="I28" s="40">
        <v>0</v>
      </c>
      <c r="J28" s="40">
        <v>0</v>
      </c>
      <c r="K28" s="40">
        <v>0</v>
      </c>
      <c r="L28" s="41">
        <f t="shared" si="0"/>
        <v>4</v>
      </c>
      <c r="M28" s="1" t="s">
        <v>78</v>
      </c>
      <c r="N28" s="41">
        <v>4</v>
      </c>
    </row>
    <row r="29" spans="1:14" x14ac:dyDescent="0.2">
      <c r="A29" s="4">
        <v>15</v>
      </c>
      <c r="B29" s="40">
        <v>0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4</v>
      </c>
      <c r="L29" s="41">
        <f t="shared" si="0"/>
        <v>4</v>
      </c>
      <c r="M29" s="1" t="s">
        <v>78</v>
      </c>
      <c r="N29" s="41">
        <v>4</v>
      </c>
    </row>
    <row r="30" spans="1:14" x14ac:dyDescent="0.2">
      <c r="A30" s="4">
        <v>16</v>
      </c>
      <c r="B30" s="40">
        <v>4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1">
        <f t="shared" si="0"/>
        <v>4</v>
      </c>
      <c r="M30" s="1" t="s">
        <v>78</v>
      </c>
      <c r="N30" s="41">
        <v>4</v>
      </c>
    </row>
    <row r="31" spans="1:14" x14ac:dyDescent="0.2">
      <c r="A31" s="4">
        <v>17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4</v>
      </c>
      <c r="J31" s="40">
        <v>0</v>
      </c>
      <c r="K31" s="40">
        <v>0</v>
      </c>
      <c r="L31" s="41">
        <f t="shared" si="0"/>
        <v>4</v>
      </c>
      <c r="M31" s="1" t="s">
        <v>78</v>
      </c>
      <c r="N31" s="41">
        <v>4</v>
      </c>
    </row>
    <row r="32" spans="1:14" x14ac:dyDescent="0.2">
      <c r="A32" s="4">
        <v>18</v>
      </c>
      <c r="B32" s="40">
        <v>0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4</v>
      </c>
      <c r="J32" s="40">
        <v>0</v>
      </c>
      <c r="K32" s="40">
        <v>0</v>
      </c>
      <c r="L32" s="41">
        <f t="shared" si="0"/>
        <v>4</v>
      </c>
      <c r="M32" s="1" t="s">
        <v>78</v>
      </c>
      <c r="N32" s="41">
        <v>4</v>
      </c>
    </row>
    <row r="33" spans="1:14" x14ac:dyDescent="0.2">
      <c r="A33" s="4">
        <v>19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4</v>
      </c>
      <c r="H33" s="40">
        <v>0</v>
      </c>
      <c r="I33" s="40">
        <v>0</v>
      </c>
      <c r="J33" s="40">
        <v>0</v>
      </c>
      <c r="K33" s="40">
        <v>0</v>
      </c>
      <c r="L33" s="41">
        <f t="shared" si="0"/>
        <v>4</v>
      </c>
      <c r="M33" s="1" t="s">
        <v>78</v>
      </c>
      <c r="N33" s="41">
        <v>4</v>
      </c>
    </row>
    <row r="34" spans="1:14" x14ac:dyDescent="0.2">
      <c r="A34" s="4">
        <v>20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4</v>
      </c>
      <c r="J34" s="40">
        <v>0</v>
      </c>
      <c r="K34" s="40">
        <v>0</v>
      </c>
      <c r="L34" s="41">
        <f t="shared" si="0"/>
        <v>4</v>
      </c>
      <c r="M34" s="1" t="s">
        <v>78</v>
      </c>
      <c r="N34" s="41">
        <v>4</v>
      </c>
    </row>
    <row r="35" spans="1:14" x14ac:dyDescent="0.2">
      <c r="A35" t="s">
        <v>75</v>
      </c>
      <c r="B35" s="42">
        <f>SUM(B15:B34)</f>
        <v>10</v>
      </c>
      <c r="C35" s="42">
        <f t="shared" ref="C35:N35" si="1">SUM(C15:C34)</f>
        <v>20</v>
      </c>
      <c r="D35" s="42">
        <f t="shared" si="1"/>
        <v>30</v>
      </c>
      <c r="E35" s="42">
        <f t="shared" si="1"/>
        <v>40</v>
      </c>
      <c r="F35" s="42">
        <f t="shared" si="1"/>
        <v>50</v>
      </c>
      <c r="G35" s="42">
        <f t="shared" si="1"/>
        <v>60</v>
      </c>
      <c r="H35" s="42">
        <f t="shared" si="1"/>
        <v>70</v>
      </c>
      <c r="I35" s="42">
        <f t="shared" si="1"/>
        <v>80</v>
      </c>
      <c r="J35" s="42">
        <f t="shared" si="1"/>
        <v>90</v>
      </c>
      <c r="K35" s="42">
        <f t="shared" si="1"/>
        <v>100</v>
      </c>
      <c r="L35" s="42"/>
      <c r="N35" s="42">
        <f t="shared" si="1"/>
        <v>550</v>
      </c>
    </row>
    <row r="36" spans="1:14" x14ac:dyDescent="0.2">
      <c r="B36" s="1" t="s">
        <v>78</v>
      </c>
      <c r="C36" s="1" t="s">
        <v>78</v>
      </c>
      <c r="D36" s="1" t="s">
        <v>78</v>
      </c>
      <c r="E36" s="1" t="s">
        <v>78</v>
      </c>
      <c r="F36" s="1" t="s">
        <v>78</v>
      </c>
      <c r="G36" s="1" t="s">
        <v>78</v>
      </c>
      <c r="H36" s="1" t="s">
        <v>78</v>
      </c>
      <c r="I36" s="1" t="s">
        <v>78</v>
      </c>
      <c r="J36" s="1" t="s">
        <v>78</v>
      </c>
      <c r="K36" s="1" t="s">
        <v>78</v>
      </c>
      <c r="L36" s="1" t="s">
        <v>78</v>
      </c>
    </row>
    <row r="37" spans="1:14" x14ac:dyDescent="0.2">
      <c r="A37" t="s">
        <v>76</v>
      </c>
      <c r="B37" s="43">
        <v>10</v>
      </c>
      <c r="C37" s="43">
        <v>20</v>
      </c>
      <c r="D37" s="43">
        <v>30</v>
      </c>
      <c r="E37" s="43">
        <v>40</v>
      </c>
      <c r="F37" s="43">
        <v>50</v>
      </c>
      <c r="G37" s="43">
        <v>60</v>
      </c>
      <c r="H37" s="43">
        <v>70</v>
      </c>
      <c r="I37" s="43">
        <v>80</v>
      </c>
      <c r="J37" s="43">
        <v>90</v>
      </c>
      <c r="K37" s="43">
        <v>100</v>
      </c>
      <c r="L37" s="44">
        <f>SUM(B37:K37)</f>
        <v>550</v>
      </c>
    </row>
    <row r="38" spans="1:14" x14ac:dyDescent="0.2">
      <c r="C38" t="s">
        <v>79</v>
      </c>
    </row>
    <row r="39" spans="1:14" x14ac:dyDescent="0.2">
      <c r="A39" s="3" t="s">
        <v>73</v>
      </c>
      <c r="B39" s="4">
        <v>1</v>
      </c>
      <c r="C39" s="4">
        <v>2</v>
      </c>
      <c r="D39" s="4">
        <v>3</v>
      </c>
      <c r="E39" s="4">
        <v>4</v>
      </c>
      <c r="F39" s="4">
        <v>5</v>
      </c>
      <c r="G39" s="4">
        <v>6</v>
      </c>
      <c r="H39" s="4">
        <v>7</v>
      </c>
      <c r="I39" s="4">
        <v>8</v>
      </c>
      <c r="J39" s="4">
        <v>9</v>
      </c>
      <c r="K39" s="4">
        <v>10</v>
      </c>
    </row>
    <row r="40" spans="1:14" x14ac:dyDescent="0.2">
      <c r="A40" s="4">
        <v>1</v>
      </c>
      <c r="B40" s="40">
        <v>10</v>
      </c>
      <c r="C40" s="40">
        <v>4</v>
      </c>
      <c r="D40" s="40">
        <v>2</v>
      </c>
      <c r="E40" s="40">
        <v>6</v>
      </c>
      <c r="F40" s="40">
        <v>9</v>
      </c>
      <c r="G40" s="40">
        <v>9</v>
      </c>
      <c r="H40" s="40">
        <v>2</v>
      </c>
      <c r="I40" s="40">
        <v>9</v>
      </c>
      <c r="J40" s="40">
        <v>3</v>
      </c>
      <c r="K40" s="40">
        <v>9</v>
      </c>
    </row>
    <row r="41" spans="1:14" x14ac:dyDescent="0.2">
      <c r="A41" s="4">
        <v>2</v>
      </c>
      <c r="B41" s="40">
        <v>6</v>
      </c>
      <c r="C41" s="40">
        <v>8</v>
      </c>
      <c r="D41" s="40">
        <v>10</v>
      </c>
      <c r="E41" s="40">
        <v>4</v>
      </c>
      <c r="F41" s="40">
        <v>6</v>
      </c>
      <c r="G41" s="40">
        <v>6</v>
      </c>
      <c r="H41" s="40">
        <v>6</v>
      </c>
      <c r="I41" s="40">
        <v>8</v>
      </c>
      <c r="J41" s="40">
        <v>8</v>
      </c>
      <c r="K41" s="40">
        <v>9</v>
      </c>
    </row>
    <row r="42" spans="1:14" x14ac:dyDescent="0.2">
      <c r="A42" s="4">
        <v>3</v>
      </c>
      <c r="B42" s="40">
        <v>3</v>
      </c>
      <c r="C42" s="40">
        <v>4</v>
      </c>
      <c r="D42" s="40">
        <v>5</v>
      </c>
      <c r="E42" s="40">
        <v>4</v>
      </c>
      <c r="F42" s="40">
        <v>9</v>
      </c>
      <c r="G42" s="40">
        <v>8</v>
      </c>
      <c r="H42" s="40">
        <v>3</v>
      </c>
      <c r="I42" s="40">
        <v>9</v>
      </c>
      <c r="J42" s="40">
        <v>7</v>
      </c>
      <c r="K42" s="40">
        <v>2</v>
      </c>
    </row>
    <row r="43" spans="1:14" x14ac:dyDescent="0.2">
      <c r="A43" s="4">
        <v>4</v>
      </c>
      <c r="B43" s="40">
        <v>10</v>
      </c>
      <c r="C43" s="40">
        <v>9</v>
      </c>
      <c r="D43" s="40">
        <v>7</v>
      </c>
      <c r="E43" s="40">
        <v>7</v>
      </c>
      <c r="F43" s="40">
        <v>4</v>
      </c>
      <c r="G43" s="40">
        <v>5</v>
      </c>
      <c r="H43" s="40">
        <v>9</v>
      </c>
      <c r="I43" s="40">
        <v>8</v>
      </c>
      <c r="J43" s="40">
        <v>5</v>
      </c>
      <c r="K43" s="40">
        <v>10</v>
      </c>
    </row>
    <row r="44" spans="1:14" x14ac:dyDescent="0.2">
      <c r="A44" s="4">
        <v>5</v>
      </c>
      <c r="B44" s="40">
        <v>10</v>
      </c>
      <c r="C44" s="40">
        <v>6</v>
      </c>
      <c r="D44" s="40">
        <v>5</v>
      </c>
      <c r="E44" s="40">
        <v>10</v>
      </c>
      <c r="F44" s="40">
        <v>7</v>
      </c>
      <c r="G44" s="40">
        <v>2</v>
      </c>
      <c r="H44" s="40">
        <v>3</v>
      </c>
      <c r="I44" s="40">
        <v>7</v>
      </c>
      <c r="J44" s="40">
        <v>7</v>
      </c>
      <c r="K44" s="40">
        <v>3</v>
      </c>
    </row>
    <row r="45" spans="1:14" x14ac:dyDescent="0.2">
      <c r="A45" s="4">
        <v>6</v>
      </c>
      <c r="B45" s="40">
        <v>3</v>
      </c>
      <c r="C45" s="40">
        <v>2</v>
      </c>
      <c r="D45" s="40">
        <v>2</v>
      </c>
      <c r="E45" s="40">
        <v>6</v>
      </c>
      <c r="F45" s="40">
        <v>8</v>
      </c>
      <c r="G45" s="40">
        <v>10</v>
      </c>
      <c r="H45" s="40">
        <v>7</v>
      </c>
      <c r="I45" s="40">
        <v>6</v>
      </c>
      <c r="J45" s="40">
        <v>2</v>
      </c>
      <c r="K45" s="40">
        <v>7</v>
      </c>
    </row>
    <row r="46" spans="1:14" x14ac:dyDescent="0.2">
      <c r="A46" s="4">
        <v>7</v>
      </c>
      <c r="B46" s="40">
        <v>6</v>
      </c>
      <c r="C46" s="40">
        <v>6</v>
      </c>
      <c r="D46" s="40">
        <v>9</v>
      </c>
      <c r="E46" s="40">
        <v>5</v>
      </c>
      <c r="F46" s="40">
        <v>7</v>
      </c>
      <c r="G46" s="40">
        <v>7</v>
      </c>
      <c r="H46" s="40">
        <v>4</v>
      </c>
      <c r="I46" s="40">
        <v>5</v>
      </c>
      <c r="J46" s="40">
        <v>2</v>
      </c>
      <c r="K46" s="40">
        <v>9</v>
      </c>
    </row>
    <row r="47" spans="1:14" x14ac:dyDescent="0.2">
      <c r="A47" s="4">
        <v>8</v>
      </c>
      <c r="B47" s="40">
        <v>10</v>
      </c>
      <c r="C47" s="40">
        <v>7</v>
      </c>
      <c r="D47" s="40">
        <v>5</v>
      </c>
      <c r="E47" s="40">
        <v>5</v>
      </c>
      <c r="F47" s="40">
        <v>6</v>
      </c>
      <c r="G47" s="40">
        <v>3</v>
      </c>
      <c r="H47" s="40">
        <v>7</v>
      </c>
      <c r="I47" s="40">
        <v>6</v>
      </c>
      <c r="J47" s="40">
        <v>7</v>
      </c>
      <c r="K47" s="40">
        <v>7</v>
      </c>
    </row>
    <row r="48" spans="1:14" x14ac:dyDescent="0.2">
      <c r="A48" s="4">
        <v>9</v>
      </c>
      <c r="B48" s="40">
        <v>3</v>
      </c>
      <c r="C48" s="40">
        <v>6</v>
      </c>
      <c r="D48" s="40">
        <v>2</v>
      </c>
      <c r="E48" s="40">
        <v>4</v>
      </c>
      <c r="F48" s="40">
        <v>7</v>
      </c>
      <c r="G48" s="40">
        <v>2</v>
      </c>
      <c r="H48" s="40">
        <v>7</v>
      </c>
      <c r="I48" s="40">
        <v>9</v>
      </c>
      <c r="J48" s="40">
        <v>9</v>
      </c>
      <c r="K48" s="40">
        <v>5</v>
      </c>
    </row>
    <row r="49" spans="1:11" x14ac:dyDescent="0.2">
      <c r="A49" s="4">
        <v>10</v>
      </c>
      <c r="B49" s="40">
        <v>10</v>
      </c>
      <c r="C49" s="40">
        <v>2</v>
      </c>
      <c r="D49" s="40">
        <v>4</v>
      </c>
      <c r="E49" s="40">
        <v>5</v>
      </c>
      <c r="F49" s="40">
        <v>4</v>
      </c>
      <c r="G49" s="40">
        <v>7</v>
      </c>
      <c r="H49" s="40">
        <v>10</v>
      </c>
      <c r="I49" s="40">
        <v>8</v>
      </c>
      <c r="J49" s="40">
        <v>8</v>
      </c>
      <c r="K49" s="40">
        <v>9</v>
      </c>
    </row>
    <row r="50" spans="1:11" x14ac:dyDescent="0.2">
      <c r="A50" s="4">
        <v>11</v>
      </c>
      <c r="B50" s="40">
        <v>2</v>
      </c>
      <c r="C50" s="40">
        <v>5</v>
      </c>
      <c r="D50" s="40">
        <v>7</v>
      </c>
      <c r="E50" s="40">
        <v>10</v>
      </c>
      <c r="F50" s="40">
        <v>3</v>
      </c>
      <c r="G50" s="40">
        <v>6</v>
      </c>
      <c r="H50" s="40">
        <v>9</v>
      </c>
      <c r="I50" s="40">
        <v>2</v>
      </c>
      <c r="J50" s="40">
        <v>2</v>
      </c>
      <c r="K50" s="40">
        <v>6</v>
      </c>
    </row>
    <row r="51" spans="1:11" x14ac:dyDescent="0.2">
      <c r="A51" s="4">
        <v>12</v>
      </c>
      <c r="B51" s="40">
        <v>8</v>
      </c>
      <c r="C51" s="40">
        <v>3</v>
      </c>
      <c r="D51" s="40">
        <v>2</v>
      </c>
      <c r="E51" s="40">
        <v>4</v>
      </c>
      <c r="F51" s="40">
        <v>9</v>
      </c>
      <c r="G51" s="40">
        <v>10</v>
      </c>
      <c r="H51" s="40">
        <v>5</v>
      </c>
      <c r="I51" s="40">
        <v>5</v>
      </c>
      <c r="J51" s="40">
        <v>9</v>
      </c>
      <c r="K51" s="40">
        <v>8</v>
      </c>
    </row>
    <row r="52" spans="1:11" x14ac:dyDescent="0.2">
      <c r="A52" s="4">
        <v>13</v>
      </c>
      <c r="B52" s="40">
        <v>10</v>
      </c>
      <c r="C52" s="40">
        <v>7</v>
      </c>
      <c r="D52" s="40">
        <v>6</v>
      </c>
      <c r="E52" s="40">
        <v>3</v>
      </c>
      <c r="F52" s="40">
        <v>3</v>
      </c>
      <c r="G52" s="40">
        <v>10</v>
      </c>
      <c r="H52" s="40">
        <v>8</v>
      </c>
      <c r="I52" s="40">
        <v>4</v>
      </c>
      <c r="J52" s="40">
        <v>4</v>
      </c>
      <c r="K52" s="40">
        <v>7</v>
      </c>
    </row>
    <row r="53" spans="1:11" x14ac:dyDescent="0.2">
      <c r="A53" s="4">
        <v>14</v>
      </c>
      <c r="B53" s="40">
        <v>5</v>
      </c>
      <c r="C53" s="40">
        <v>6</v>
      </c>
      <c r="D53" s="40">
        <v>10</v>
      </c>
      <c r="E53" s="40">
        <v>5</v>
      </c>
      <c r="F53" s="40">
        <v>3</v>
      </c>
      <c r="G53" s="40">
        <v>6</v>
      </c>
      <c r="H53" s="40">
        <v>3</v>
      </c>
      <c r="I53" s="40">
        <v>7</v>
      </c>
      <c r="J53" s="40">
        <v>9</v>
      </c>
      <c r="K53" s="40">
        <v>6</v>
      </c>
    </row>
    <row r="54" spans="1:11" x14ac:dyDescent="0.2">
      <c r="A54" s="4">
        <v>15</v>
      </c>
      <c r="B54" s="40">
        <v>3</v>
      </c>
      <c r="C54" s="40">
        <v>2</v>
      </c>
      <c r="D54" s="40">
        <v>7</v>
      </c>
      <c r="E54" s="40">
        <v>8</v>
      </c>
      <c r="F54" s="40">
        <v>8</v>
      </c>
      <c r="G54" s="40">
        <v>9</v>
      </c>
      <c r="H54" s="40">
        <v>4</v>
      </c>
      <c r="I54" s="40">
        <v>9</v>
      </c>
      <c r="J54" s="40">
        <v>3</v>
      </c>
      <c r="K54" s="40">
        <v>2</v>
      </c>
    </row>
    <row r="55" spans="1:11" x14ac:dyDescent="0.2">
      <c r="A55" s="4">
        <v>16</v>
      </c>
      <c r="B55" s="40">
        <v>3</v>
      </c>
      <c r="C55" s="40">
        <v>8</v>
      </c>
      <c r="D55" s="40">
        <v>10</v>
      </c>
      <c r="E55" s="40">
        <v>4</v>
      </c>
      <c r="F55" s="40">
        <v>10</v>
      </c>
      <c r="G55" s="40">
        <v>9</v>
      </c>
      <c r="H55" s="40">
        <v>9</v>
      </c>
      <c r="I55" s="40">
        <v>6</v>
      </c>
      <c r="J55" s="40">
        <v>9</v>
      </c>
      <c r="K55" s="40">
        <v>8</v>
      </c>
    </row>
    <row r="56" spans="1:11" x14ac:dyDescent="0.2">
      <c r="A56" s="4">
        <v>17</v>
      </c>
      <c r="B56" s="40">
        <v>7</v>
      </c>
      <c r="C56" s="40">
        <v>8</v>
      </c>
      <c r="D56" s="40">
        <v>9</v>
      </c>
      <c r="E56" s="40">
        <v>8</v>
      </c>
      <c r="F56" s="40">
        <v>4</v>
      </c>
      <c r="G56" s="40">
        <v>4</v>
      </c>
      <c r="H56" s="40">
        <v>5</v>
      </c>
      <c r="I56" s="40">
        <v>7</v>
      </c>
      <c r="J56" s="40">
        <v>7</v>
      </c>
      <c r="K56" s="40">
        <v>9</v>
      </c>
    </row>
    <row r="57" spans="1:11" x14ac:dyDescent="0.2">
      <c r="A57" s="4">
        <v>18</v>
      </c>
      <c r="B57" s="40">
        <v>2</v>
      </c>
      <c r="C57" s="40">
        <v>7</v>
      </c>
      <c r="D57" s="40">
        <v>3</v>
      </c>
      <c r="E57" s="40">
        <v>2</v>
      </c>
      <c r="F57" s="40">
        <v>2</v>
      </c>
      <c r="G57" s="40">
        <v>2</v>
      </c>
      <c r="H57" s="40">
        <v>3</v>
      </c>
      <c r="I57" s="40">
        <v>2</v>
      </c>
      <c r="J57" s="40">
        <v>8</v>
      </c>
      <c r="K57" s="40">
        <v>5</v>
      </c>
    </row>
    <row r="58" spans="1:11" x14ac:dyDescent="0.2">
      <c r="A58" s="4">
        <v>19</v>
      </c>
      <c r="B58" s="40">
        <v>8</v>
      </c>
      <c r="C58" s="40">
        <v>4</v>
      </c>
      <c r="D58" s="40">
        <v>10</v>
      </c>
      <c r="E58" s="40">
        <v>4</v>
      </c>
      <c r="F58" s="40">
        <v>4</v>
      </c>
      <c r="G58" s="40">
        <v>2</v>
      </c>
      <c r="H58" s="40">
        <v>4</v>
      </c>
      <c r="I58" s="40">
        <v>7</v>
      </c>
      <c r="J58" s="40">
        <v>2</v>
      </c>
      <c r="K58" s="40">
        <v>6</v>
      </c>
    </row>
    <row r="59" spans="1:11" x14ac:dyDescent="0.2">
      <c r="A59" s="4">
        <v>20</v>
      </c>
      <c r="B59" s="40">
        <v>7</v>
      </c>
      <c r="C59" s="40">
        <v>7</v>
      </c>
      <c r="D59" s="40">
        <v>8</v>
      </c>
      <c r="E59" s="40">
        <v>6</v>
      </c>
      <c r="F59" s="40">
        <v>9</v>
      </c>
      <c r="G59" s="40">
        <v>3</v>
      </c>
      <c r="H59" s="40">
        <v>8</v>
      </c>
      <c r="I59" s="40">
        <v>4</v>
      </c>
      <c r="J59" s="40">
        <v>5</v>
      </c>
      <c r="K59" s="40">
        <v>10</v>
      </c>
    </row>
    <row r="62" spans="1:11" x14ac:dyDescent="0.2">
      <c r="C62" t="s">
        <v>83</v>
      </c>
      <c r="I62" s="43">
        <v>2</v>
      </c>
      <c r="K62" s="43">
        <v>10</v>
      </c>
    </row>
    <row r="63" spans="1:11" x14ac:dyDescent="0.2">
      <c r="A63" s="3" t="s">
        <v>73</v>
      </c>
      <c r="B63" s="4">
        <v>1</v>
      </c>
      <c r="C63" s="4">
        <v>2</v>
      </c>
      <c r="D63" s="4">
        <v>3</v>
      </c>
      <c r="E63" s="4">
        <v>4</v>
      </c>
      <c r="F63" s="4">
        <v>5</v>
      </c>
      <c r="G63" s="4">
        <v>6</v>
      </c>
      <c r="H63" s="4">
        <v>7</v>
      </c>
      <c r="I63" s="4">
        <v>8</v>
      </c>
      <c r="J63" s="4">
        <v>9</v>
      </c>
      <c r="K63" s="4">
        <v>10</v>
      </c>
    </row>
    <row r="64" spans="1:11" x14ac:dyDescent="0.2">
      <c r="A64" s="4">
        <v>1</v>
      </c>
      <c r="B64" s="40">
        <f ca="1">RANDBETWEEN(2,10)</f>
        <v>7</v>
      </c>
      <c r="C64" s="40">
        <f t="shared" ref="C64:K79" ca="1" si="2">RANDBETWEEN(2,10)</f>
        <v>2</v>
      </c>
      <c r="D64" s="40">
        <f t="shared" ca="1" si="2"/>
        <v>3</v>
      </c>
      <c r="E64" s="40">
        <f t="shared" ca="1" si="2"/>
        <v>7</v>
      </c>
      <c r="F64" s="40">
        <f t="shared" ca="1" si="2"/>
        <v>2</v>
      </c>
      <c r="G64" s="40">
        <f t="shared" ca="1" si="2"/>
        <v>3</v>
      </c>
      <c r="H64" s="40">
        <f t="shared" ca="1" si="2"/>
        <v>8</v>
      </c>
      <c r="I64" s="40">
        <f t="shared" ca="1" si="2"/>
        <v>10</v>
      </c>
      <c r="J64" s="40">
        <f t="shared" ca="1" si="2"/>
        <v>6</v>
      </c>
      <c r="K64" s="40">
        <f t="shared" ca="1" si="2"/>
        <v>8</v>
      </c>
    </row>
    <row r="65" spans="1:11" x14ac:dyDescent="0.2">
      <c r="A65" s="4">
        <v>2</v>
      </c>
      <c r="B65" s="40">
        <f t="shared" ref="B65:K80" ca="1" si="3">RANDBETWEEN(2,10)</f>
        <v>4</v>
      </c>
      <c r="C65" s="40">
        <f t="shared" ca="1" si="2"/>
        <v>5</v>
      </c>
      <c r="D65" s="40">
        <f t="shared" ca="1" si="2"/>
        <v>6</v>
      </c>
      <c r="E65" s="40">
        <f t="shared" ca="1" si="2"/>
        <v>6</v>
      </c>
      <c r="F65" s="40">
        <f t="shared" ca="1" si="2"/>
        <v>6</v>
      </c>
      <c r="G65" s="40">
        <f t="shared" ca="1" si="2"/>
        <v>4</v>
      </c>
      <c r="H65" s="40">
        <f t="shared" ca="1" si="2"/>
        <v>2</v>
      </c>
      <c r="I65" s="40">
        <f t="shared" ca="1" si="2"/>
        <v>6</v>
      </c>
      <c r="J65" s="40">
        <f t="shared" ca="1" si="2"/>
        <v>7</v>
      </c>
      <c r="K65" s="40">
        <f t="shared" ca="1" si="2"/>
        <v>6</v>
      </c>
    </row>
    <row r="66" spans="1:11" x14ac:dyDescent="0.2">
      <c r="A66" s="4">
        <v>3</v>
      </c>
      <c r="B66" s="40">
        <f t="shared" ca="1" si="3"/>
        <v>4</v>
      </c>
      <c r="C66" s="40">
        <f t="shared" ca="1" si="2"/>
        <v>7</v>
      </c>
      <c r="D66" s="40">
        <f t="shared" ca="1" si="2"/>
        <v>6</v>
      </c>
      <c r="E66" s="40">
        <f t="shared" ca="1" si="2"/>
        <v>3</v>
      </c>
      <c r="F66" s="40">
        <f t="shared" ca="1" si="2"/>
        <v>10</v>
      </c>
      <c r="G66" s="40">
        <f t="shared" ca="1" si="2"/>
        <v>4</v>
      </c>
      <c r="H66" s="40">
        <f t="shared" ca="1" si="2"/>
        <v>7</v>
      </c>
      <c r="I66" s="40">
        <f t="shared" ca="1" si="2"/>
        <v>8</v>
      </c>
      <c r="J66" s="40">
        <f t="shared" ca="1" si="2"/>
        <v>9</v>
      </c>
      <c r="K66" s="40">
        <f t="shared" ca="1" si="2"/>
        <v>8</v>
      </c>
    </row>
    <row r="67" spans="1:11" x14ac:dyDescent="0.2">
      <c r="A67" s="4">
        <v>4</v>
      </c>
      <c r="B67" s="40">
        <f t="shared" ca="1" si="3"/>
        <v>2</v>
      </c>
      <c r="C67" s="40">
        <f t="shared" ca="1" si="2"/>
        <v>6</v>
      </c>
      <c r="D67" s="40">
        <f t="shared" ca="1" si="2"/>
        <v>3</v>
      </c>
      <c r="E67" s="40">
        <f t="shared" ca="1" si="2"/>
        <v>7</v>
      </c>
      <c r="F67" s="40">
        <f t="shared" ca="1" si="2"/>
        <v>6</v>
      </c>
      <c r="G67" s="40">
        <f t="shared" ca="1" si="2"/>
        <v>7</v>
      </c>
      <c r="H67" s="40">
        <f t="shared" ca="1" si="2"/>
        <v>4</v>
      </c>
      <c r="I67" s="40">
        <f t="shared" ca="1" si="2"/>
        <v>4</v>
      </c>
      <c r="J67" s="40">
        <f t="shared" ca="1" si="2"/>
        <v>3</v>
      </c>
      <c r="K67" s="40">
        <f t="shared" ca="1" si="2"/>
        <v>6</v>
      </c>
    </row>
    <row r="68" spans="1:11" x14ac:dyDescent="0.2">
      <c r="A68" s="4">
        <v>5</v>
      </c>
      <c r="B68" s="40">
        <f t="shared" ca="1" si="3"/>
        <v>5</v>
      </c>
      <c r="C68" s="40">
        <f t="shared" ca="1" si="2"/>
        <v>5</v>
      </c>
      <c r="D68" s="40">
        <f t="shared" ca="1" si="2"/>
        <v>2</v>
      </c>
      <c r="E68" s="40">
        <f t="shared" ca="1" si="2"/>
        <v>2</v>
      </c>
      <c r="F68" s="40">
        <f t="shared" ca="1" si="2"/>
        <v>10</v>
      </c>
      <c r="G68" s="40">
        <f t="shared" ca="1" si="2"/>
        <v>3</v>
      </c>
      <c r="H68" s="40">
        <f t="shared" ca="1" si="2"/>
        <v>10</v>
      </c>
      <c r="I68" s="40">
        <f t="shared" ca="1" si="2"/>
        <v>3</v>
      </c>
      <c r="J68" s="40">
        <f t="shared" ca="1" si="2"/>
        <v>5</v>
      </c>
      <c r="K68" s="40">
        <f t="shared" ca="1" si="2"/>
        <v>10</v>
      </c>
    </row>
    <row r="69" spans="1:11" x14ac:dyDescent="0.2">
      <c r="A69" s="4">
        <v>6</v>
      </c>
      <c r="B69" s="40">
        <f t="shared" ca="1" si="3"/>
        <v>4</v>
      </c>
      <c r="C69" s="40">
        <f t="shared" ca="1" si="2"/>
        <v>2</v>
      </c>
      <c r="D69" s="40">
        <f t="shared" ca="1" si="2"/>
        <v>2</v>
      </c>
      <c r="E69" s="40">
        <f t="shared" ca="1" si="2"/>
        <v>3</v>
      </c>
      <c r="F69" s="40">
        <f t="shared" ca="1" si="2"/>
        <v>8</v>
      </c>
      <c r="G69" s="40">
        <f t="shared" ca="1" si="2"/>
        <v>8</v>
      </c>
      <c r="H69" s="40">
        <f t="shared" ca="1" si="2"/>
        <v>2</v>
      </c>
      <c r="I69" s="40">
        <f t="shared" ca="1" si="2"/>
        <v>3</v>
      </c>
      <c r="J69" s="40">
        <f t="shared" ca="1" si="2"/>
        <v>6</v>
      </c>
      <c r="K69" s="40">
        <f t="shared" ca="1" si="2"/>
        <v>6</v>
      </c>
    </row>
    <row r="70" spans="1:11" x14ac:dyDescent="0.2">
      <c r="A70" s="4">
        <v>7</v>
      </c>
      <c r="B70" s="40">
        <f t="shared" ca="1" si="3"/>
        <v>5</v>
      </c>
      <c r="C70" s="40">
        <f t="shared" ca="1" si="2"/>
        <v>3</v>
      </c>
      <c r="D70" s="40">
        <f t="shared" ca="1" si="2"/>
        <v>9</v>
      </c>
      <c r="E70" s="40">
        <f t="shared" ca="1" si="2"/>
        <v>10</v>
      </c>
      <c r="F70" s="40">
        <f t="shared" ca="1" si="2"/>
        <v>6</v>
      </c>
      <c r="G70" s="40">
        <f t="shared" ca="1" si="2"/>
        <v>9</v>
      </c>
      <c r="H70" s="40">
        <f t="shared" ca="1" si="2"/>
        <v>3</v>
      </c>
      <c r="I70" s="40">
        <f t="shared" ca="1" si="2"/>
        <v>9</v>
      </c>
      <c r="J70" s="40">
        <f t="shared" ca="1" si="2"/>
        <v>3</v>
      </c>
      <c r="K70" s="40">
        <f t="shared" ca="1" si="2"/>
        <v>9</v>
      </c>
    </row>
    <row r="71" spans="1:11" x14ac:dyDescent="0.2">
      <c r="A71" s="4">
        <v>8</v>
      </c>
      <c r="B71" s="40">
        <f t="shared" ca="1" si="3"/>
        <v>9</v>
      </c>
      <c r="C71" s="40">
        <f t="shared" ca="1" si="2"/>
        <v>4</v>
      </c>
      <c r="D71" s="40">
        <f t="shared" ca="1" si="2"/>
        <v>6</v>
      </c>
      <c r="E71" s="40">
        <f t="shared" ca="1" si="2"/>
        <v>7</v>
      </c>
      <c r="F71" s="40">
        <f t="shared" ca="1" si="2"/>
        <v>5</v>
      </c>
      <c r="G71" s="40">
        <f t="shared" ca="1" si="2"/>
        <v>10</v>
      </c>
      <c r="H71" s="40">
        <f t="shared" ca="1" si="2"/>
        <v>2</v>
      </c>
      <c r="I71" s="40">
        <f t="shared" ca="1" si="2"/>
        <v>3</v>
      </c>
      <c r="J71" s="40">
        <f t="shared" ca="1" si="2"/>
        <v>7</v>
      </c>
      <c r="K71" s="40">
        <f t="shared" ca="1" si="2"/>
        <v>10</v>
      </c>
    </row>
    <row r="72" spans="1:11" x14ac:dyDescent="0.2">
      <c r="A72" s="4">
        <v>9</v>
      </c>
      <c r="B72" s="40">
        <f t="shared" ca="1" si="3"/>
        <v>8</v>
      </c>
      <c r="C72" s="40">
        <f t="shared" ca="1" si="2"/>
        <v>6</v>
      </c>
      <c r="D72" s="40">
        <f t="shared" ca="1" si="2"/>
        <v>2</v>
      </c>
      <c r="E72" s="40">
        <f t="shared" ca="1" si="2"/>
        <v>7</v>
      </c>
      <c r="F72" s="40">
        <f t="shared" ca="1" si="2"/>
        <v>4</v>
      </c>
      <c r="G72" s="40">
        <f t="shared" ca="1" si="2"/>
        <v>3</v>
      </c>
      <c r="H72" s="40">
        <f t="shared" ca="1" si="2"/>
        <v>7</v>
      </c>
      <c r="I72" s="40">
        <f t="shared" ca="1" si="2"/>
        <v>9</v>
      </c>
      <c r="J72" s="40">
        <f t="shared" ca="1" si="2"/>
        <v>2</v>
      </c>
      <c r="K72" s="40">
        <f t="shared" ca="1" si="2"/>
        <v>10</v>
      </c>
    </row>
    <row r="73" spans="1:11" x14ac:dyDescent="0.2">
      <c r="A73" s="4">
        <v>10</v>
      </c>
      <c r="B73" s="40">
        <f t="shared" ca="1" si="3"/>
        <v>7</v>
      </c>
      <c r="C73" s="40">
        <f t="shared" ca="1" si="2"/>
        <v>7</v>
      </c>
      <c r="D73" s="40">
        <f t="shared" ca="1" si="2"/>
        <v>10</v>
      </c>
      <c r="E73" s="40">
        <f t="shared" ca="1" si="2"/>
        <v>4</v>
      </c>
      <c r="F73" s="40">
        <f t="shared" ca="1" si="2"/>
        <v>8</v>
      </c>
      <c r="G73" s="40">
        <f t="shared" ca="1" si="2"/>
        <v>8</v>
      </c>
      <c r="H73" s="40">
        <f t="shared" ca="1" si="2"/>
        <v>4</v>
      </c>
      <c r="I73" s="40">
        <f t="shared" ca="1" si="2"/>
        <v>9</v>
      </c>
      <c r="J73" s="40">
        <f t="shared" ca="1" si="2"/>
        <v>5</v>
      </c>
      <c r="K73" s="40">
        <f t="shared" ca="1" si="2"/>
        <v>10</v>
      </c>
    </row>
    <row r="74" spans="1:11" x14ac:dyDescent="0.2">
      <c r="A74" s="4">
        <v>11</v>
      </c>
      <c r="B74" s="40">
        <f t="shared" ca="1" si="3"/>
        <v>6</v>
      </c>
      <c r="C74" s="40">
        <f t="shared" ca="1" si="2"/>
        <v>6</v>
      </c>
      <c r="D74" s="40">
        <f t="shared" ca="1" si="2"/>
        <v>7</v>
      </c>
      <c r="E74" s="40">
        <f t="shared" ca="1" si="2"/>
        <v>6</v>
      </c>
      <c r="F74" s="40">
        <f t="shared" ca="1" si="2"/>
        <v>4</v>
      </c>
      <c r="G74" s="40">
        <f t="shared" ca="1" si="2"/>
        <v>5</v>
      </c>
      <c r="H74" s="40">
        <f t="shared" ca="1" si="2"/>
        <v>4</v>
      </c>
      <c r="I74" s="40">
        <f t="shared" ca="1" si="2"/>
        <v>5</v>
      </c>
      <c r="J74" s="40">
        <f t="shared" ca="1" si="2"/>
        <v>6</v>
      </c>
      <c r="K74" s="40">
        <f t="shared" ca="1" si="2"/>
        <v>5</v>
      </c>
    </row>
    <row r="75" spans="1:11" x14ac:dyDescent="0.2">
      <c r="A75" s="4">
        <v>12</v>
      </c>
      <c r="B75" s="40">
        <f t="shared" ca="1" si="3"/>
        <v>2</v>
      </c>
      <c r="C75" s="40">
        <f t="shared" ca="1" si="2"/>
        <v>6</v>
      </c>
      <c r="D75" s="40">
        <f t="shared" ca="1" si="2"/>
        <v>10</v>
      </c>
      <c r="E75" s="40">
        <f t="shared" ca="1" si="2"/>
        <v>9</v>
      </c>
      <c r="F75" s="40">
        <f t="shared" ca="1" si="2"/>
        <v>9</v>
      </c>
      <c r="G75" s="40">
        <f t="shared" ca="1" si="2"/>
        <v>2</v>
      </c>
      <c r="H75" s="40">
        <f t="shared" ca="1" si="2"/>
        <v>8</v>
      </c>
      <c r="I75" s="40">
        <f t="shared" ca="1" si="2"/>
        <v>3</v>
      </c>
      <c r="J75" s="40">
        <f t="shared" ca="1" si="2"/>
        <v>2</v>
      </c>
      <c r="K75" s="40">
        <f t="shared" ca="1" si="2"/>
        <v>9</v>
      </c>
    </row>
    <row r="76" spans="1:11" x14ac:dyDescent="0.2">
      <c r="A76" s="4">
        <v>13</v>
      </c>
      <c r="B76" s="40">
        <f ca="1">RANDBETWEEN(2,10)</f>
        <v>8</v>
      </c>
      <c r="C76" s="40">
        <f t="shared" ca="1" si="2"/>
        <v>2</v>
      </c>
      <c r="D76" s="40">
        <f t="shared" ca="1" si="2"/>
        <v>6</v>
      </c>
      <c r="E76" s="40">
        <f t="shared" ca="1" si="2"/>
        <v>5</v>
      </c>
      <c r="F76" s="40">
        <f t="shared" ca="1" si="2"/>
        <v>9</v>
      </c>
      <c r="G76" s="40">
        <f t="shared" ca="1" si="2"/>
        <v>2</v>
      </c>
      <c r="H76" s="40">
        <f t="shared" ca="1" si="2"/>
        <v>4</v>
      </c>
      <c r="I76" s="40">
        <f t="shared" ca="1" si="2"/>
        <v>9</v>
      </c>
      <c r="J76" s="40">
        <f t="shared" ca="1" si="2"/>
        <v>5</v>
      </c>
      <c r="K76" s="40">
        <f t="shared" ca="1" si="2"/>
        <v>3</v>
      </c>
    </row>
    <row r="77" spans="1:11" x14ac:dyDescent="0.2">
      <c r="A77" s="4">
        <v>14</v>
      </c>
      <c r="B77" s="40">
        <f t="shared" ca="1" si="3"/>
        <v>6</v>
      </c>
      <c r="C77" s="40">
        <f t="shared" ca="1" si="2"/>
        <v>7</v>
      </c>
      <c r="D77" s="40">
        <f t="shared" ca="1" si="2"/>
        <v>10</v>
      </c>
      <c r="E77" s="40">
        <f t="shared" ca="1" si="2"/>
        <v>5</v>
      </c>
      <c r="F77" s="40">
        <f t="shared" ca="1" si="2"/>
        <v>7</v>
      </c>
      <c r="G77" s="40">
        <f t="shared" ca="1" si="2"/>
        <v>6</v>
      </c>
      <c r="H77" s="40">
        <f t="shared" ca="1" si="2"/>
        <v>9</v>
      </c>
      <c r="I77" s="40">
        <f t="shared" ca="1" si="2"/>
        <v>5</v>
      </c>
      <c r="J77" s="40">
        <f t="shared" ca="1" si="2"/>
        <v>7</v>
      </c>
      <c r="K77" s="40">
        <f t="shared" ca="1" si="2"/>
        <v>7</v>
      </c>
    </row>
    <row r="78" spans="1:11" x14ac:dyDescent="0.2">
      <c r="A78" s="4">
        <v>15</v>
      </c>
      <c r="B78" s="40">
        <f t="shared" ca="1" si="3"/>
        <v>6</v>
      </c>
      <c r="C78" s="40">
        <f t="shared" ca="1" si="2"/>
        <v>3</v>
      </c>
      <c r="D78" s="40">
        <f t="shared" ca="1" si="2"/>
        <v>6</v>
      </c>
      <c r="E78" s="40">
        <f t="shared" ca="1" si="2"/>
        <v>6</v>
      </c>
      <c r="F78" s="40">
        <f t="shared" ca="1" si="2"/>
        <v>6</v>
      </c>
      <c r="G78" s="40">
        <f t="shared" ca="1" si="2"/>
        <v>10</v>
      </c>
      <c r="H78" s="40">
        <f t="shared" ca="1" si="2"/>
        <v>7</v>
      </c>
      <c r="I78" s="40">
        <f t="shared" ca="1" si="2"/>
        <v>4</v>
      </c>
      <c r="J78" s="40">
        <f t="shared" ca="1" si="2"/>
        <v>6</v>
      </c>
      <c r="K78" s="40">
        <f t="shared" ca="1" si="2"/>
        <v>9</v>
      </c>
    </row>
    <row r="79" spans="1:11" x14ac:dyDescent="0.2">
      <c r="A79" s="4">
        <v>16</v>
      </c>
      <c r="B79" s="40">
        <f t="shared" ca="1" si="3"/>
        <v>9</v>
      </c>
      <c r="C79" s="40">
        <f t="shared" ca="1" si="2"/>
        <v>3</v>
      </c>
      <c r="D79" s="40">
        <f t="shared" ca="1" si="2"/>
        <v>10</v>
      </c>
      <c r="E79" s="40">
        <f t="shared" ca="1" si="2"/>
        <v>8</v>
      </c>
      <c r="F79" s="40">
        <f t="shared" ca="1" si="2"/>
        <v>7</v>
      </c>
      <c r="G79" s="40">
        <f t="shared" ca="1" si="2"/>
        <v>10</v>
      </c>
      <c r="H79" s="40">
        <f t="shared" ca="1" si="2"/>
        <v>2</v>
      </c>
      <c r="I79" s="40">
        <f t="shared" ca="1" si="2"/>
        <v>9</v>
      </c>
      <c r="J79" s="40">
        <f t="shared" ca="1" si="2"/>
        <v>3</v>
      </c>
      <c r="K79" s="40">
        <f t="shared" ca="1" si="2"/>
        <v>5</v>
      </c>
    </row>
    <row r="80" spans="1:11" x14ac:dyDescent="0.2">
      <c r="A80" s="4">
        <v>17</v>
      </c>
      <c r="B80" s="40">
        <f t="shared" ca="1" si="3"/>
        <v>10</v>
      </c>
      <c r="C80" s="40">
        <f t="shared" ca="1" si="3"/>
        <v>2</v>
      </c>
      <c r="D80" s="40">
        <f t="shared" ca="1" si="3"/>
        <v>6</v>
      </c>
      <c r="E80" s="40">
        <f t="shared" ca="1" si="3"/>
        <v>10</v>
      </c>
      <c r="F80" s="40">
        <f t="shared" ca="1" si="3"/>
        <v>2</v>
      </c>
      <c r="G80" s="40">
        <f t="shared" ca="1" si="3"/>
        <v>6</v>
      </c>
      <c r="H80" s="40">
        <f t="shared" ca="1" si="3"/>
        <v>9</v>
      </c>
      <c r="I80" s="40">
        <f t="shared" ca="1" si="3"/>
        <v>7</v>
      </c>
      <c r="J80" s="40">
        <f t="shared" ca="1" si="3"/>
        <v>2</v>
      </c>
      <c r="K80" s="40">
        <f t="shared" ca="1" si="3"/>
        <v>5</v>
      </c>
    </row>
    <row r="81" spans="1:11" x14ac:dyDescent="0.2">
      <c r="A81" s="4">
        <v>18</v>
      </c>
      <c r="B81" s="40">
        <f t="shared" ref="B81:K83" ca="1" si="4">RANDBETWEEN(2,10)</f>
        <v>7</v>
      </c>
      <c r="C81" s="40">
        <f t="shared" ca="1" si="4"/>
        <v>8</v>
      </c>
      <c r="D81" s="40">
        <f t="shared" ca="1" si="4"/>
        <v>6</v>
      </c>
      <c r="E81" s="40">
        <f t="shared" ca="1" si="4"/>
        <v>10</v>
      </c>
      <c r="F81" s="40">
        <f t="shared" ca="1" si="4"/>
        <v>5</v>
      </c>
      <c r="G81" s="40">
        <f t="shared" ca="1" si="4"/>
        <v>7</v>
      </c>
      <c r="H81" s="40">
        <f t="shared" ca="1" si="4"/>
        <v>3</v>
      </c>
      <c r="I81" s="40">
        <f t="shared" ca="1" si="4"/>
        <v>10</v>
      </c>
      <c r="J81" s="40">
        <f t="shared" ca="1" si="4"/>
        <v>2</v>
      </c>
      <c r="K81" s="40">
        <f t="shared" ca="1" si="4"/>
        <v>7</v>
      </c>
    </row>
    <row r="82" spans="1:11" x14ac:dyDescent="0.2">
      <c r="A82" s="4">
        <v>19</v>
      </c>
      <c r="B82" s="40">
        <f t="shared" ca="1" si="4"/>
        <v>3</v>
      </c>
      <c r="C82" s="40">
        <f t="shared" ca="1" si="4"/>
        <v>6</v>
      </c>
      <c r="D82" s="40">
        <f t="shared" ca="1" si="4"/>
        <v>3</v>
      </c>
      <c r="E82" s="40">
        <f t="shared" ca="1" si="4"/>
        <v>6</v>
      </c>
      <c r="F82" s="40">
        <f t="shared" ca="1" si="4"/>
        <v>4</v>
      </c>
      <c r="G82" s="40">
        <f t="shared" ca="1" si="4"/>
        <v>5</v>
      </c>
      <c r="H82" s="40">
        <f t="shared" ca="1" si="4"/>
        <v>8</v>
      </c>
      <c r="I82" s="40">
        <f t="shared" ca="1" si="4"/>
        <v>5</v>
      </c>
      <c r="J82" s="40">
        <f t="shared" ca="1" si="4"/>
        <v>7</v>
      </c>
      <c r="K82" s="40">
        <f t="shared" ca="1" si="4"/>
        <v>6</v>
      </c>
    </row>
    <row r="83" spans="1:11" x14ac:dyDescent="0.2">
      <c r="A83" s="4">
        <v>20</v>
      </c>
      <c r="B83" s="40">
        <f t="shared" ca="1" si="4"/>
        <v>6</v>
      </c>
      <c r="C83" s="40">
        <f t="shared" ca="1" si="4"/>
        <v>10</v>
      </c>
      <c r="D83" s="40">
        <f t="shared" ca="1" si="4"/>
        <v>2</v>
      </c>
      <c r="E83" s="40">
        <f t="shared" ca="1" si="4"/>
        <v>9</v>
      </c>
      <c r="F83" s="40">
        <f t="shared" ca="1" si="4"/>
        <v>5</v>
      </c>
      <c r="G83" s="40">
        <f t="shared" ca="1" si="4"/>
        <v>9</v>
      </c>
      <c r="H83" s="40">
        <f t="shared" ca="1" si="4"/>
        <v>9</v>
      </c>
      <c r="I83" s="40">
        <f t="shared" ca="1" si="4"/>
        <v>10</v>
      </c>
      <c r="J83" s="40">
        <f t="shared" ca="1" si="4"/>
        <v>3</v>
      </c>
      <c r="K83" s="40">
        <f t="shared" ca="1" si="4"/>
        <v>8</v>
      </c>
    </row>
    <row r="85" spans="1:11" x14ac:dyDescent="0.2">
      <c r="A85" t="s">
        <v>89</v>
      </c>
    </row>
    <row r="86" spans="1:11" ht="15" x14ac:dyDescent="0.2">
      <c r="A86" s="22" t="s">
        <v>90</v>
      </c>
    </row>
    <row r="87" spans="1:11" ht="15" x14ac:dyDescent="0.2">
      <c r="A87" s="18" t="s">
        <v>91</v>
      </c>
      <c r="D87" s="22" t="s">
        <v>92</v>
      </c>
      <c r="F87" s="37">
        <v>20</v>
      </c>
      <c r="H87" s="22" t="s">
        <v>93</v>
      </c>
      <c r="K87" s="37">
        <v>10</v>
      </c>
    </row>
    <row r="89" spans="1:11" ht="18" x14ac:dyDescent="0.25">
      <c r="A89" s="47" t="s">
        <v>104</v>
      </c>
    </row>
    <row r="90" spans="1:11" x14ac:dyDescent="0.2">
      <c r="A90" s="66" t="s">
        <v>168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spans="1:11" x14ac:dyDescent="0.2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spans="1:11" x14ac:dyDescent="0.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spans="1:11" x14ac:dyDescent="0.2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5" spans="1:11" ht="18" x14ac:dyDescent="0.25">
      <c r="A95" s="47" t="s">
        <v>94</v>
      </c>
    </row>
    <row r="96" spans="1:11" x14ac:dyDescent="0.2">
      <c r="A96" s="66" t="s">
        <v>169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spans="1:11" x14ac:dyDescent="0.2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spans="1:11" x14ac:dyDescent="0.2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spans="1:11" x14ac:dyDescent="0.2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1" spans="1:11" ht="18" x14ac:dyDescent="0.25">
      <c r="A101" s="47" t="s">
        <v>95</v>
      </c>
    </row>
    <row r="102" spans="1:11" ht="18" x14ac:dyDescent="0.25">
      <c r="A102" s="47" t="s">
        <v>96</v>
      </c>
      <c r="G102" s="38">
        <f ca="1">RANDBETWEEN(4,100)</f>
        <v>49</v>
      </c>
    </row>
  </sheetData>
  <mergeCells count="2">
    <mergeCell ref="A90:K93"/>
    <mergeCell ref="A96:K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МОДЕЛЬ  Марковица</vt:lpstr>
      <vt:lpstr>СТАБИЛЬНАЯ ЭКОНОМИКА</vt:lpstr>
      <vt:lpstr>Методы оптимизации</vt:lpstr>
      <vt:lpstr>Пример ТЗЛП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Oskorbin</dc:creator>
  <cp:lastModifiedBy>Ruslan Vdovin</cp:lastModifiedBy>
  <cp:lastPrinted>2008-03-04T04:14:29Z</cp:lastPrinted>
  <dcterms:created xsi:type="dcterms:W3CDTF">2008-03-04T02:18:37Z</dcterms:created>
  <dcterms:modified xsi:type="dcterms:W3CDTF">2026-09-21T04:36:32Z</dcterms:modified>
</cp:coreProperties>
</file>