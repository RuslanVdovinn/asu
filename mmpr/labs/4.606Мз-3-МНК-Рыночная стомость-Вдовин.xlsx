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Ruslan\Downloads\лабы\"/>
    </mc:Choice>
  </mc:AlternateContent>
  <xr:revisionPtr revIDLastSave="0" documentId="13_ncr:1_{33E18F2C-CF89-42BF-9FC8-6471975A918E}" xr6:coauthVersionLast="47" xr6:coauthVersionMax="47" xr10:uidLastSave="{00000000-0000-0000-0000-000000000000}"/>
  <bookViews>
    <workbookView xWindow="-120" yWindow="-120" windowWidth="38640" windowHeight="21120" tabRatio="500" activeTab="2" xr2:uid="{00000000-000D-0000-FFFF-FFFF00000000}"/>
  </bookViews>
  <sheets>
    <sheet name="ЗАДАНИЕ" sheetId="1" r:id="rId1"/>
    <sheet name="ОЦЕНКА МНК" sheetId="2" r:id="rId2"/>
    <sheet name="АНАЛИЗ" sheetId="3" r:id="rId3"/>
    <sheet name="ТЕСТ ПОИСК-РЕШЕНИЯ" sheetId="4" r:id="rId4"/>
  </sheets>
  <definedNames>
    <definedName name="solver_adj" localSheetId="1" hidden="1">'ОЦЕНКА МНК'!$A$27:$F$27</definedName>
    <definedName name="solver_adj" localSheetId="3" hidden="1">'ТЕСТ ПОИСК-РЕШЕНИЯ'!$I$8:$I$17</definedName>
    <definedName name="solver_asr" localSheetId="1" hidden="1">0</definedName>
    <definedName name="solver_bbd" localSheetId="1" hidden="1">1</definedName>
    <definedName name="solver_ccoeff" localSheetId="1" hidden="1">0</definedName>
    <definedName name="solver_cog" localSheetId="1" hidden="1">0</definedName>
    <definedName name="solver_crpb" localSheetId="1" hidden="1">0</definedName>
    <definedName name="solver_cvg" localSheetId="1" hidden="1">0.0001</definedName>
    <definedName name="solver_cvg" localSheetId="3" hidden="1">0.0001</definedName>
    <definedName name="solver_drv" localSheetId="1" hidden="1">2</definedName>
    <definedName name="solver_drv" localSheetId="3" hidden="1">1</definedName>
    <definedName name="solver_eng" localSheetId="1" hidden="1">1</definedName>
    <definedName name="solver_eng" localSheetId="3" hidden="1">2</definedName>
    <definedName name="solver_eps" localSheetId="1" hidden="1">0</definedName>
    <definedName name="solver_est" localSheetId="1" hidden="1">1</definedName>
    <definedName name="solver_est" localSheetId="3" hidden="1">1</definedName>
    <definedName name="solver_int" localSheetId="1" hidden="1">0</definedName>
    <definedName name="solver_itr" localSheetId="1" hidden="1">2147483647</definedName>
    <definedName name="solver_itr" localSheetId="3" hidden="1">2147483647</definedName>
    <definedName name="solver_lhs1" localSheetId="3" hidden="1">'ТЕСТ ПОИСК-РЕШЕНИЯ'!$I$8:$I$17</definedName>
    <definedName name="solver_lo_eng" localSheetId="1" hidden="1">"com.sun.star.comp.Calc.SwarmSolver"</definedName>
    <definedName name="solver_mip" localSheetId="1" hidden="1">2147483647</definedName>
    <definedName name="solver_mip" localSheetId="3" hidden="1">2147483647</definedName>
    <definedName name="solver_mni" localSheetId="1" hidden="1">30</definedName>
    <definedName name="solver_mni" localSheetId="3" hidden="1">30</definedName>
    <definedName name="solver_mrt" localSheetId="1" hidden="1">0.075</definedName>
    <definedName name="solver_mrt" localSheetId="3" hidden="1">0.075</definedName>
    <definedName name="solver_msl" localSheetId="1" hidden="1">2</definedName>
    <definedName name="solver_msl" localSheetId="3" hidden="1">2</definedName>
    <definedName name="solver_mtpb" localSheetId="1" hidden="1">0</definedName>
    <definedName name="solver_neg" localSheetId="1" hidden="1">2</definedName>
    <definedName name="solver_neg" localSheetId="3" hidden="1">2</definedName>
    <definedName name="solver_nod" localSheetId="1" hidden="1">2147483647</definedName>
    <definedName name="solver_nod" localSheetId="3" hidden="1">2147483647</definedName>
    <definedName name="solver_num" localSheetId="1" hidden="1">0</definedName>
    <definedName name="solver_num" localSheetId="3" hidden="1">1</definedName>
    <definedName name="solver_nwt" localSheetId="1" hidden="1">1</definedName>
    <definedName name="solver_nwt" localSheetId="3" hidden="1">1</definedName>
    <definedName name="solver_opt" localSheetId="1" hidden="1">'ОЦЕНКА МНК'!$K$23</definedName>
    <definedName name="solver_opt" localSheetId="3" hidden="1">'ТЕСТ ПОИСК-РЕШЕНИЯ'!$I$18</definedName>
    <definedName name="solver_pre" localSheetId="1" hidden="1">0.000001</definedName>
    <definedName name="solver_pre" localSheetId="3" hidden="1">0.000001</definedName>
    <definedName name="solver_rbv" localSheetId="1" hidden="1">1</definedName>
    <definedName name="solver_rbv" localSheetId="3" hidden="1">1</definedName>
    <definedName name="solver_rel1" localSheetId="3" hidden="1">1</definedName>
    <definedName name="solver_rhs1" localSheetId="3" hidden="1">'ТЕСТ ПОИСК-РЕШЕНИЯ'!$H$8:$H$17</definedName>
    <definedName name="solver_rlx" localSheetId="1" hidden="1">1</definedName>
    <definedName name="solver_rlx" localSheetId="3" hidden="1">2</definedName>
    <definedName name="solver_rsd" localSheetId="1" hidden="1">0</definedName>
    <definedName name="solver_rsd" localSheetId="3" hidden="1">0</definedName>
    <definedName name="solver_scl" localSheetId="1" hidden="1">2</definedName>
    <definedName name="solver_scl" localSheetId="3" hidden="1">1</definedName>
    <definedName name="solver_sho" localSheetId="1" hidden="1">2</definedName>
    <definedName name="solver_sho" localSheetId="3" hidden="1">2</definedName>
    <definedName name="solver_smax" localSheetId="1" hidden="1">0</definedName>
    <definedName name="solver_smin" localSheetId="1" hidden="1">0</definedName>
    <definedName name="solver_soc" localSheetId="1" hidden="1">0</definedName>
    <definedName name="solver_ssz" localSheetId="1" hidden="1">100</definedName>
    <definedName name="solver_ssz" localSheetId="3" hidden="1">100</definedName>
    <definedName name="solver_stol" localSheetId="1" hidden="1">0</definedName>
    <definedName name="solver_tim" localSheetId="1" hidden="1">60000</definedName>
    <definedName name="solver_tim" localSheetId="3" hidden="1">2147483647</definedName>
    <definedName name="solver_tol" localSheetId="1" hidden="1">0.05</definedName>
    <definedName name="solver_tol" localSheetId="3" hidden="1">0.01</definedName>
    <definedName name="solver_typ" localSheetId="1" hidden="1">2</definedName>
    <definedName name="solver_typ" localSheetId="3" hidden="1">1</definedName>
    <definedName name="solver_val" localSheetId="1" hidden="1">0</definedName>
    <definedName name="solver_val" localSheetId="3" hidden="1">0</definedName>
    <definedName name="solver_ver" localSheetId="1" hidden="1">3</definedName>
    <definedName name="solver_ver" localSheetId="3" hidden="1">3</definedName>
    <definedName name="solver_vrt" localSheetId="1" hidden="1">0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18" i="4" l="1"/>
  <c r="D18" i="4"/>
  <c r="I23" i="2"/>
  <c r="K22" i="3" s="1"/>
  <c r="K25" i="3" s="1"/>
  <c r="I22" i="2"/>
  <c r="C22" i="2"/>
  <c r="I21" i="2"/>
  <c r="J21" i="2" s="1"/>
  <c r="K21" i="2" s="1"/>
  <c r="C21" i="2"/>
  <c r="I20" i="2"/>
  <c r="C20" i="2"/>
  <c r="I19" i="2"/>
  <c r="C19" i="2"/>
  <c r="I18" i="2"/>
  <c r="C18" i="2"/>
  <c r="I17" i="2"/>
  <c r="J17" i="2" s="1"/>
  <c r="K17" i="2" s="1"/>
  <c r="C17" i="2"/>
  <c r="I16" i="2"/>
  <c r="C16" i="2"/>
  <c r="I15" i="2"/>
  <c r="C15" i="2"/>
  <c r="J15" i="2" s="1"/>
  <c r="K15" i="2" s="1"/>
  <c r="I14" i="2"/>
  <c r="C14" i="2"/>
  <c r="I13" i="2"/>
  <c r="J13" i="2" s="1"/>
  <c r="K13" i="2" s="1"/>
  <c r="C13" i="2"/>
  <c r="I12" i="2"/>
  <c r="C12" i="2"/>
  <c r="I11" i="2"/>
  <c r="C11" i="2"/>
  <c r="I10" i="2"/>
  <c r="C10" i="2"/>
  <c r="I9" i="2"/>
  <c r="J9" i="2" s="1"/>
  <c r="K9" i="2" s="1"/>
  <c r="C9" i="2"/>
  <c r="I8" i="2"/>
  <c r="C8" i="2"/>
  <c r="I7" i="2"/>
  <c r="C7" i="2"/>
  <c r="I6" i="2"/>
  <c r="C6" i="2"/>
  <c r="I5" i="2"/>
  <c r="J5" i="2" s="1"/>
  <c r="K5" i="2" s="1"/>
  <c r="C5" i="2"/>
  <c r="I4" i="2"/>
  <c r="C4" i="2"/>
  <c r="I3" i="2"/>
  <c r="C3" i="2"/>
  <c r="J20" i="2" l="1"/>
  <c r="K20" i="2" s="1"/>
  <c r="J6" i="2"/>
  <c r="K6" i="2" s="1"/>
  <c r="J4" i="2"/>
  <c r="K4" i="2" s="1"/>
  <c r="J14" i="2"/>
  <c r="K14" i="2" s="1"/>
  <c r="J18" i="2"/>
  <c r="K18" i="2" s="1"/>
  <c r="J11" i="2"/>
  <c r="K11" i="2" s="1"/>
  <c r="J3" i="2"/>
  <c r="K3" i="2" s="1"/>
  <c r="J19" i="2"/>
  <c r="K19" i="2" s="1"/>
  <c r="J22" i="2"/>
  <c r="K22" i="2" s="1"/>
  <c r="J12" i="2"/>
  <c r="K12" i="2" s="1"/>
  <c r="J7" i="2"/>
  <c r="K7" i="2" s="1"/>
  <c r="J10" i="2"/>
  <c r="K10" i="2" s="1"/>
  <c r="J8" i="2"/>
  <c r="K8" i="2" s="1"/>
  <c r="J16" i="2"/>
  <c r="K16" i="2" s="1"/>
  <c r="G32" i="2"/>
  <c r="M18" i="3" s="1"/>
  <c r="K23" i="2" l="1"/>
  <c r="G30" i="2"/>
  <c r="H27" i="2" s="1"/>
  <c r="J23" i="2"/>
  <c r="G17" i="3" l="1"/>
  <c r="G18" i="3" s="1"/>
  <c r="G19" i="3" s="1"/>
  <c r="K23" i="3" s="1"/>
  <c r="M17" i="3" l="1"/>
  <c r="M19" i="3" s="1"/>
  <c r="N19" i="3" s="1"/>
  <c r="K26" i="3"/>
  <c r="K24" i="3"/>
</calcChain>
</file>

<file path=xl/sharedStrings.xml><?xml version="1.0" encoding="utf-8"?>
<sst xmlns="http://schemas.openxmlformats.org/spreadsheetml/2006/main" count="116" uniqueCount="104">
  <si>
    <t>Магистрантам в учебном году 2025 в имени файла ставить 4.506М-3-МНК-Фамилия или 4.506Мз-3</t>
  </si>
  <si>
    <t>Номера вариантов индивидуальных расчетных работ</t>
  </si>
  <si>
    <t>Нужно:</t>
  </si>
  <si>
    <t>Номера вариантов для группы 4.606Мз-3</t>
  </si>
  <si>
    <t>№ вар</t>
  </si>
  <si>
    <t>Таблица. Стоимости 1 кв. м.  и бальная характеристика объектов - аналогов</t>
  </si>
  <si>
    <t>Скидка=</t>
  </si>
  <si>
    <t>Варианты индивидуальных заданий</t>
  </si>
  <si>
    <t>Аналоги</t>
  </si>
  <si>
    <t>Цена предложения за 1 кв.м</t>
  </si>
  <si>
    <t>Цена с учетом скидки</t>
  </si>
  <si>
    <t>Площадь кв.м</t>
  </si>
  <si>
    <t>Оживл улицы</t>
  </si>
  <si>
    <t>Этаж располож</t>
  </si>
  <si>
    <t xml:space="preserve">Число выходов </t>
  </si>
  <si>
    <t>Состояние объекта</t>
  </si>
  <si>
    <t>Формула оценки</t>
  </si>
  <si>
    <t>Е</t>
  </si>
  <si>
    <t>Е*Е</t>
  </si>
  <si>
    <t>W</t>
  </si>
  <si>
    <t>№ п/п</t>
  </si>
  <si>
    <t>Скидка= Ячейка К1</t>
  </si>
  <si>
    <t>Площадь Объекта. Ячейка D23</t>
  </si>
  <si>
    <t>Объект № 1</t>
  </si>
  <si>
    <t>Объект № 2</t>
  </si>
  <si>
    <t>Объект № 3</t>
  </si>
  <si>
    <t>Объект № 4</t>
  </si>
  <si>
    <t>Объект № 5</t>
  </si>
  <si>
    <t>Объект № 6</t>
  </si>
  <si>
    <t>Объект № 7</t>
  </si>
  <si>
    <t>Объект № 8</t>
  </si>
  <si>
    <t>Объект № 9</t>
  </si>
  <si>
    <t>Объект № 10</t>
  </si>
  <si>
    <t>Объект № 11</t>
  </si>
  <si>
    <t>Объект № 12</t>
  </si>
  <si>
    <t>Объект № 13</t>
  </si>
  <si>
    <t>Объект № 14</t>
  </si>
  <si>
    <t>Объект № 15</t>
  </si>
  <si>
    <t>Объект № 16</t>
  </si>
  <si>
    <t>Объект № 17</t>
  </si>
  <si>
    <t>Объект № 18</t>
  </si>
  <si>
    <t>Объект № 19</t>
  </si>
  <si>
    <t>Объект № 20</t>
  </si>
  <si>
    <t>Объект Оценки</t>
  </si>
  <si>
    <t>A0</t>
  </si>
  <si>
    <t>A1</t>
  </si>
  <si>
    <t>A2</t>
  </si>
  <si>
    <t>A3</t>
  </si>
  <si>
    <t>A4</t>
  </si>
  <si>
    <t>A5</t>
  </si>
  <si>
    <t>Множ R2</t>
  </si>
  <si>
    <t>ТОЧНЫЕ ЗНАЧЕНИЯ</t>
  </si>
  <si>
    <t xml:space="preserve">      Анализ результатов построения модели прогноза рыночной стоимости объекта оценки </t>
  </si>
  <si>
    <t xml:space="preserve">Верификация модели </t>
  </si>
  <si>
    <t>Первый метод</t>
  </si>
  <si>
    <t>Второй  метод</t>
  </si>
  <si>
    <t>Оценка дисперсии ошибки е=</t>
  </si>
  <si>
    <t>Оценка СКО ошибки е=</t>
  </si>
  <si>
    <t>Оценка дисперсии выходной перем у=</t>
  </si>
  <si>
    <t>Оценка Абсоютной ошибки е=</t>
  </si>
  <si>
    <t>Квадрат множ. коэфф. корреляции R2=</t>
  </si>
  <si>
    <t>ВЫВОД: формула оценки работоспособна? Да-1 нет-0</t>
  </si>
  <si>
    <t xml:space="preserve">Итоговый результат </t>
  </si>
  <si>
    <t>Оценка стоимости=</t>
  </si>
  <si>
    <t>тыс. руб. за 1 кв. м оцениваемого объекта</t>
  </si>
  <si>
    <t>Ошибка, АБС</t>
  </si>
  <si>
    <t>тыс руб</t>
  </si>
  <si>
    <t>Ошибка,%</t>
  </si>
  <si>
    <t>%</t>
  </si>
  <si>
    <t>Оценка стоимости объекта</t>
  </si>
  <si>
    <t xml:space="preserve">млн. руб. </t>
  </si>
  <si>
    <t>ДА или НЕТ?</t>
  </si>
  <si>
    <t>ВЫВОД: формула оценки работоспособна? ДА или НЕТ</t>
  </si>
  <si>
    <t>ОТВЕТ:</t>
  </si>
  <si>
    <t>ДА</t>
  </si>
  <si>
    <t>ВЫВОД: Можно ли по имеющимся данным оценить адекватность модели? ДА или НЕТ</t>
  </si>
  <si>
    <t>Задание для освоения инструмента Excel "Поиск решения"</t>
  </si>
  <si>
    <t>Простая задача, которую можно решить усно.</t>
  </si>
  <si>
    <t>Найти 10 чисел сумму которых максимальна, а их значения не превышают заданные.</t>
  </si>
  <si>
    <t>Решить устно в таблице 1</t>
  </si>
  <si>
    <t>Решить инструментом "Поиск решения" в таблице 2</t>
  </si>
  <si>
    <t>Исходные условия</t>
  </si>
  <si>
    <t>Таб. 1</t>
  </si>
  <si>
    <t>Таб. 2</t>
  </si>
  <si>
    <t>Граница</t>
  </si>
  <si>
    <t>Искомые</t>
  </si>
  <si>
    <t>Порядок решения (учитываем, что правильное решение: ИСКОМЫЕ ЧИСЛА = ГРАНИЦА)</t>
  </si>
  <si>
    <t>Действие 1</t>
  </si>
  <si>
    <t>Актуализировать на своем компьютере инструмент "ПОИСК РЕШЕНИЯ"</t>
  </si>
  <si>
    <t xml:space="preserve">Последоватеьность действий: Файл </t>
  </si>
  <si>
    <t>параметры</t>
  </si>
  <si>
    <t>надстройки</t>
  </si>
  <si>
    <t>перейти</t>
  </si>
  <si>
    <t>посик решения ОК</t>
  </si>
  <si>
    <t>Инструкция в картинках (скопированы в файлах к лекции 4)</t>
  </si>
  <si>
    <t>http://www.excelworld.ru/publ/hacks/tools/solver/27-1-0-122</t>
  </si>
  <si>
    <t>Действие 2</t>
  </si>
  <si>
    <t>Запускаем на этом листе Поиск решения  (ВСЕ ЗАПРОГОРАММИРОВАНО!)</t>
  </si>
  <si>
    <t>Действие 3</t>
  </si>
  <si>
    <t>Кнопки "Найти решение"</t>
  </si>
  <si>
    <t>Контролировать процесс и</t>
  </si>
  <si>
    <t>"СОХРАНИТЬ решение"</t>
  </si>
  <si>
    <t>Примечание: В этой версии автор</t>
  </si>
  <si>
    <t>СОХРАНИЛ ИСХОДНЫЕ ДАННЫЕ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</si>
</sst>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000"/>
    <numFmt numFmtId="166" formatCode="0.0"/>
  </numFmts>
  <fonts count="9" x14ac:knownFonts="1">
    <font>
      <sz val="10"/>
      <name val="Arial Cyr"/>
      <charset val="204"/>
    </font>
    <font>
      <sz val="11"/>
      <color theme="1"/>
      <name val="Calibri"/>
      <family val="2"/>
      <charset val="204"/>
    </font>
    <font>
      <sz val="16"/>
      <name val="Arial Cyr"/>
      <charset val="204"/>
    </font>
    <font>
      <sz val="12"/>
      <name val="Arial Cyr"/>
      <charset val="204"/>
    </font>
    <font>
      <b/>
      <sz val="10"/>
      <name val="Arial Cyr"/>
      <charset val="204"/>
    </font>
    <font>
      <b/>
      <sz val="12"/>
      <name val="Times New Roman"/>
      <family val="1"/>
      <charset val="204"/>
    </font>
    <font>
      <sz val="14"/>
      <name val="Arial Cyr"/>
      <charset val="204"/>
    </font>
    <font>
      <sz val="18"/>
      <color theme="1"/>
      <name val="Calibri"/>
      <family val="2"/>
      <charset val="204"/>
    </font>
    <font>
      <u/>
      <sz val="11"/>
      <color rgb="FF0000FF"/>
      <name val="Calibri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00B0F0"/>
        <bgColor rgb="FF33CCCC"/>
      </patternFill>
    </fill>
    <fill>
      <patternFill patternType="solid">
        <fgColor theme="8" tint="0.59987182226020086"/>
        <bgColor rgb="FF93CDDD"/>
      </patternFill>
    </fill>
    <fill>
      <patternFill patternType="solid">
        <fgColor rgb="FF92D050"/>
        <bgColor rgb="FFC3D69B"/>
      </patternFill>
    </fill>
    <fill>
      <patternFill patternType="solid">
        <fgColor rgb="FFFFC000"/>
        <bgColor rgb="FFFF9900"/>
      </patternFill>
    </fill>
    <fill>
      <patternFill patternType="solid">
        <fgColor theme="8" tint="0.39988402966399123"/>
        <bgColor rgb="FFB7DEE8"/>
      </patternFill>
    </fill>
    <fill>
      <patternFill patternType="solid">
        <fgColor rgb="FFFFFF00"/>
        <bgColor rgb="FFFFFF00"/>
      </patternFill>
    </fill>
    <fill>
      <patternFill patternType="solid">
        <fgColor theme="6" tint="0.39988402966399123"/>
        <bgColor rgb="FFB7DEE8"/>
      </patternFill>
    </fill>
    <fill>
      <patternFill patternType="solid">
        <fgColor rgb="FF00B050"/>
        <bgColor rgb="FF00808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8" fillId="0" borderId="0" applyBorder="0" applyProtection="0"/>
    <xf numFmtId="0" fontId="1" fillId="0" borderId="0"/>
  </cellStyleXfs>
  <cellXfs count="59">
    <xf numFmtId="0" fontId="0" fillId="0" borderId="0" xfId="0"/>
    <xf numFmtId="0" fontId="0" fillId="5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2" fillId="2" borderId="0" xfId="0" applyFont="1" applyFill="1"/>
    <xf numFmtId="0" fontId="0" fillId="2" borderId="0" xfId="0" applyFill="1"/>
    <xf numFmtId="0" fontId="0" fillId="0" borderId="1" xfId="0" applyBorder="1" applyAlignment="1">
      <alignment horizontal="center"/>
    </xf>
    <xf numFmtId="0" fontId="3" fillId="3" borderId="0" xfId="0" applyFont="1" applyFill="1"/>
    <xf numFmtId="0" fontId="0" fillId="3" borderId="0" xfId="0" applyFill="1"/>
    <xf numFmtId="164" fontId="0" fillId="4" borderId="0" xfId="0" applyNumberFormat="1" applyFill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0" fillId="3" borderId="0" xfId="0" applyFill="1" applyAlignment="1">
      <alignment wrapText="1"/>
    </xf>
    <xf numFmtId="0" fontId="0" fillId="0" borderId="0" xfId="0" applyAlignment="1">
      <alignment horizontal="center" wrapText="1"/>
    </xf>
    <xf numFmtId="0" fontId="0" fillId="0" borderId="1" xfId="0" applyBorder="1" applyAlignment="1">
      <alignment vertical="center" wrapText="1"/>
    </xf>
    <xf numFmtId="1" fontId="0" fillId="0" borderId="0" xfId="0" applyNumberFormat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0" xfId="0" applyFill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wrapText="1"/>
    </xf>
    <xf numFmtId="2" fontId="0" fillId="6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/>
    <xf numFmtId="0" fontId="2" fillId="6" borderId="0" xfId="0" applyFont="1" applyFill="1"/>
    <xf numFmtId="0" fontId="0" fillId="6" borderId="0" xfId="0" applyFill="1"/>
    <xf numFmtId="0" fontId="5" fillId="0" borderId="0" xfId="0" applyFont="1"/>
    <xf numFmtId="0" fontId="4" fillId="0" borderId="0" xfId="0" applyFont="1"/>
    <xf numFmtId="166" fontId="0" fillId="0" borderId="0" xfId="0" applyNumberFormat="1" applyAlignment="1">
      <alignment horizontal="center"/>
    </xf>
    <xf numFmtId="2" fontId="0" fillId="0" borderId="0" xfId="0" applyNumberFormat="1"/>
    <xf numFmtId="2" fontId="2" fillId="6" borderId="0" xfId="0" applyNumberFormat="1" applyFont="1" applyFill="1" applyAlignment="1">
      <alignment horizontal="center"/>
    </xf>
    <xf numFmtId="0" fontId="3" fillId="5" borderId="0" xfId="0" applyFont="1" applyFill="1" applyAlignment="1">
      <alignment horizontal="center"/>
    </xf>
    <xf numFmtId="10" fontId="0" fillId="0" borderId="0" xfId="0" applyNumberFormat="1"/>
    <xf numFmtId="0" fontId="6" fillId="6" borderId="0" xfId="0" applyFont="1" applyFill="1"/>
    <xf numFmtId="2" fontId="6" fillId="6" borderId="0" xfId="0" applyNumberFormat="1" applyFont="1" applyFill="1" applyAlignment="1">
      <alignment horizontal="center"/>
    </xf>
    <xf numFmtId="0" fontId="0" fillId="0" borderId="0" xfId="0" applyAlignment="1">
      <alignment horizontal="left"/>
    </xf>
    <xf numFmtId="164" fontId="6" fillId="6" borderId="0" xfId="0" applyNumberFormat="1" applyFont="1" applyFill="1" applyAlignment="1">
      <alignment horizontal="center"/>
    </xf>
    <xf numFmtId="2" fontId="6" fillId="7" borderId="0" xfId="0" applyNumberFormat="1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5" borderId="0" xfId="0" applyFill="1"/>
    <xf numFmtId="0" fontId="0" fillId="5" borderId="0" xfId="0" applyFill="1" applyAlignment="1">
      <alignment vertical="center"/>
    </xf>
    <xf numFmtId="0" fontId="0" fillId="2" borderId="0" xfId="0" applyFill="1" applyAlignment="1">
      <alignment vertical="center"/>
    </xf>
    <xf numFmtId="0" fontId="1" fillId="0" borderId="0" xfId="2"/>
    <xf numFmtId="0" fontId="7" fillId="3" borderId="0" xfId="2" applyFont="1" applyFill="1"/>
    <xf numFmtId="0" fontId="1" fillId="3" borderId="0" xfId="2" applyFill="1"/>
    <xf numFmtId="0" fontId="1" fillId="2" borderId="0" xfId="2" applyFill="1"/>
    <xf numFmtId="0" fontId="1" fillId="8" borderId="0" xfId="2" applyFill="1"/>
    <xf numFmtId="0" fontId="1" fillId="0" borderId="1" xfId="2" applyBorder="1"/>
    <xf numFmtId="0" fontId="1" fillId="0" borderId="1" xfId="2" applyBorder="1" applyAlignment="1">
      <alignment horizontal="center"/>
    </xf>
    <xf numFmtId="0" fontId="1" fillId="3" borderId="1" xfId="2" applyFill="1" applyBorder="1" applyAlignment="1">
      <alignment horizontal="center"/>
    </xf>
    <xf numFmtId="0" fontId="1" fillId="6" borderId="0" xfId="2" applyFill="1" applyAlignment="1">
      <alignment horizontal="center"/>
    </xf>
    <xf numFmtId="0" fontId="1" fillId="9" borderId="0" xfId="2" applyFill="1"/>
    <xf numFmtId="0" fontId="8" fillId="0" borderId="0" xfId="1" applyBorder="1" applyProtection="1"/>
    <xf numFmtId="0" fontId="1" fillId="7" borderId="0" xfId="2" applyFill="1"/>
  </cellXfs>
  <cellStyles count="3">
    <cellStyle name="Гиперссылка" xfId="1" builtinId="8"/>
    <cellStyle name="Обычный" xfId="0" builtinId="0"/>
    <cellStyle name="Обычный 2" xfId="2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3D69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7DE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3CDDD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141120</xdr:colOff>
      <xdr:row>4</xdr:row>
      <xdr:rowOff>7560</xdr:rowOff>
    </xdr:from>
    <xdr:to>
      <xdr:col>20</xdr:col>
      <xdr:colOff>101880</xdr:colOff>
      <xdr:row>21</xdr:row>
      <xdr:rowOff>6840</xdr:rowOff>
    </xdr:to>
    <xdr:pic>
      <xdr:nvPicPr>
        <xdr:cNvPr id="2" name="Рисунок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198600" y="743400"/>
          <a:ext cx="9307440" cy="2752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4</xdr:col>
      <xdr:colOff>144360</xdr:colOff>
      <xdr:row>31</xdr:row>
      <xdr:rowOff>44640</xdr:rowOff>
    </xdr:to>
    <xdr:pic>
      <xdr:nvPicPr>
        <xdr:cNvPr id="3" name="Рисунок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0" y="574200"/>
          <a:ext cx="2590560" cy="45784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33</xdr:row>
      <xdr:rowOff>0</xdr:rowOff>
    </xdr:from>
    <xdr:to>
      <xdr:col>3</xdr:col>
      <xdr:colOff>557640</xdr:colOff>
      <xdr:row>46</xdr:row>
      <xdr:rowOff>37800</xdr:rowOff>
    </xdr:to>
    <xdr:pic>
      <xdr:nvPicPr>
        <xdr:cNvPr id="4" name="Рисунок 5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611640" y="5612760"/>
          <a:ext cx="1780560" cy="2142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29</xdr:row>
      <xdr:rowOff>0</xdr:rowOff>
    </xdr:from>
    <xdr:to>
      <xdr:col>5</xdr:col>
      <xdr:colOff>456840</xdr:colOff>
      <xdr:row>32</xdr:row>
      <xdr:rowOff>28080</xdr:rowOff>
    </xdr:to>
    <xdr:pic>
      <xdr:nvPicPr>
        <xdr:cNvPr id="4" name="Picture 20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754800" y="5200560"/>
          <a:ext cx="1302480" cy="5140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358920</xdr:colOff>
      <xdr:row>0</xdr:row>
      <xdr:rowOff>95400</xdr:rowOff>
    </xdr:from>
    <xdr:to>
      <xdr:col>12</xdr:col>
      <xdr:colOff>681120</xdr:colOff>
      <xdr:row>10</xdr:row>
      <xdr:rowOff>43920</xdr:rowOff>
    </xdr:to>
    <xdr:pic>
      <xdr:nvPicPr>
        <xdr:cNvPr id="5" name="Picture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/>
      </xdr:nvPicPr>
      <xdr:blipFill>
        <a:blip xmlns:r="http://schemas.openxmlformats.org/officeDocument/2006/relationships" r:embed="rId1"/>
        <a:srcRect l="17858" t="57424" r="19881" b="21024"/>
        <a:stretch/>
      </xdr:blipFill>
      <xdr:spPr>
        <a:xfrm>
          <a:off x="1272600" y="95400"/>
          <a:ext cx="7117560" cy="1567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0</xdr:colOff>
      <xdr:row>19</xdr:row>
      <xdr:rowOff>123840</xdr:rowOff>
    </xdr:from>
    <xdr:to>
      <xdr:col>3</xdr:col>
      <xdr:colOff>37800</xdr:colOff>
      <xdr:row>22</xdr:row>
      <xdr:rowOff>85320</xdr:rowOff>
    </xdr:to>
    <xdr:pic>
      <xdr:nvPicPr>
        <xdr:cNvPr id="6" name="Picture 20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302400" y="3405600"/>
          <a:ext cx="1260720" cy="5054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7560</xdr:colOff>
      <xdr:row>26</xdr:row>
      <xdr:rowOff>91440</xdr:rowOff>
    </xdr:from>
    <xdr:to>
      <xdr:col>7</xdr:col>
      <xdr:colOff>80640</xdr:colOff>
      <xdr:row>41</xdr:row>
      <xdr:rowOff>75600</xdr:rowOff>
    </xdr:to>
    <xdr:pic>
      <xdr:nvPicPr>
        <xdr:cNvPr id="7" name="Рисунок 1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/>
      </xdr:nvPicPr>
      <xdr:blipFill>
        <a:blip xmlns:r="http://schemas.openxmlformats.org/officeDocument/2006/relationships" r:embed="rId1"/>
        <a:srcRect l="15000" t="12634" r="45085" b="44166"/>
        <a:stretch/>
      </xdr:blipFill>
      <xdr:spPr>
        <a:xfrm>
          <a:off x="7560" y="5133960"/>
          <a:ext cx="4533480" cy="28418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http://www.excelworld.ru/publ/hacks/tools/solver/27-1-0-12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6"/>
  <sheetViews>
    <sheetView zoomScaleNormal="100" workbookViewId="0">
      <selection activeCell="M28" sqref="M28"/>
    </sheetView>
  </sheetViews>
  <sheetFormatPr defaultColWidth="8.7109375" defaultRowHeight="12.75" x14ac:dyDescent="0.2"/>
  <cols>
    <col min="17" max="17" width="11.140625" customWidth="1"/>
  </cols>
  <sheetData>
    <row r="1" spans="1:18" ht="20.25" x14ac:dyDescent="0.3">
      <c r="C1" s="4" t="s">
        <v>0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4"/>
    </row>
    <row r="3" spans="1:18" x14ac:dyDescent="0.2">
      <c r="A3" t="s">
        <v>1</v>
      </c>
    </row>
    <row r="4" spans="1:18" x14ac:dyDescent="0.2">
      <c r="H4" t="s">
        <v>2</v>
      </c>
    </row>
    <row r="32" spans="2:2" ht="27" customHeight="1" x14ac:dyDescent="0.2">
      <c r="B32" t="s">
        <v>3</v>
      </c>
    </row>
    <row r="33" spans="1:1" x14ac:dyDescent="0.2">
      <c r="A33" t="s">
        <v>4</v>
      </c>
    </row>
    <row r="34" spans="1:1" x14ac:dyDescent="0.2">
      <c r="A34" s="6">
        <v>23</v>
      </c>
    </row>
    <row r="35" spans="1:1" x14ac:dyDescent="0.2">
      <c r="A35" s="6">
        <v>24</v>
      </c>
    </row>
    <row r="36" spans="1:1" x14ac:dyDescent="0.2">
      <c r="A36" s="6">
        <v>25</v>
      </c>
    </row>
    <row r="37" spans="1:1" x14ac:dyDescent="0.2">
      <c r="A37" s="6">
        <v>26</v>
      </c>
    </row>
    <row r="38" spans="1:1" x14ac:dyDescent="0.2">
      <c r="A38" s="6">
        <v>27</v>
      </c>
    </row>
    <row r="39" spans="1:1" x14ac:dyDescent="0.2">
      <c r="A39" s="6">
        <v>28</v>
      </c>
    </row>
    <row r="40" spans="1:1" x14ac:dyDescent="0.2">
      <c r="A40" s="6">
        <v>29</v>
      </c>
    </row>
    <row r="41" spans="1:1" x14ac:dyDescent="0.2">
      <c r="A41" s="6">
        <v>30</v>
      </c>
    </row>
    <row r="42" spans="1:1" x14ac:dyDescent="0.2">
      <c r="A42" s="6">
        <v>31</v>
      </c>
    </row>
    <row r="43" spans="1:1" x14ac:dyDescent="0.2">
      <c r="A43" s="6">
        <v>32</v>
      </c>
    </row>
    <row r="44" spans="1:1" x14ac:dyDescent="0.2">
      <c r="A44" s="6">
        <v>33</v>
      </c>
    </row>
    <row r="45" spans="1:1" x14ac:dyDescent="0.2">
      <c r="A45" s="6">
        <v>34</v>
      </c>
    </row>
    <row r="46" spans="1:1" x14ac:dyDescent="0.2">
      <c r="A46" s="6">
        <v>35</v>
      </c>
    </row>
  </sheetData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7"/>
  <sheetViews>
    <sheetView zoomScaleNormal="100" workbookViewId="0">
      <selection activeCell="G32" sqref="G32"/>
    </sheetView>
  </sheetViews>
  <sheetFormatPr defaultColWidth="8.7109375" defaultRowHeight="12.75" x14ac:dyDescent="0.2"/>
  <cols>
    <col min="1" max="1" width="14.85546875" customWidth="1"/>
    <col min="2" max="2" width="11.42578125" customWidth="1"/>
    <col min="3" max="3" width="14.42578125" customWidth="1"/>
    <col min="4" max="4" width="12.5703125" customWidth="1"/>
    <col min="5" max="5" width="12" customWidth="1"/>
    <col min="6" max="6" width="12.5703125" customWidth="1"/>
    <col min="7" max="7" width="12.42578125" customWidth="1"/>
    <col min="8" max="8" width="10.42578125" customWidth="1"/>
    <col min="11" max="11" width="14.28515625" customWidth="1"/>
    <col min="14" max="14" width="10.42578125" customWidth="1"/>
    <col min="15" max="15" width="11.42578125" customWidth="1"/>
  </cols>
  <sheetData>
    <row r="1" spans="1:15" ht="15" x14ac:dyDescent="0.2">
      <c r="B1" s="7" t="s">
        <v>5</v>
      </c>
      <c r="C1" s="7"/>
      <c r="D1" s="8"/>
      <c r="E1" s="8"/>
      <c r="F1" s="8"/>
      <c r="G1" s="8"/>
      <c r="H1" s="8"/>
      <c r="I1" s="8"/>
      <c r="J1" t="s">
        <v>6</v>
      </c>
      <c r="K1" s="9">
        <v>0.05</v>
      </c>
      <c r="M1" s="8" t="s">
        <v>7</v>
      </c>
      <c r="N1" s="8"/>
      <c r="O1" s="8"/>
    </row>
    <row r="2" spans="1:15" ht="41.25" customHeight="1" x14ac:dyDescent="0.2">
      <c r="A2" s="10" t="s">
        <v>8</v>
      </c>
      <c r="B2" s="11" t="s">
        <v>9</v>
      </c>
      <c r="C2" s="12" t="s">
        <v>10</v>
      </c>
      <c r="D2" s="12" t="s">
        <v>11</v>
      </c>
      <c r="E2" s="12" t="s">
        <v>12</v>
      </c>
      <c r="F2" s="12" t="s">
        <v>13</v>
      </c>
      <c r="G2" s="12" t="s">
        <v>14</v>
      </c>
      <c r="H2" s="12" t="s">
        <v>15</v>
      </c>
      <c r="I2" s="13" t="s">
        <v>16</v>
      </c>
      <c r="J2" s="14" t="s">
        <v>17</v>
      </c>
      <c r="K2" s="14" t="s">
        <v>18</v>
      </c>
      <c r="L2" s="14" t="s">
        <v>19</v>
      </c>
      <c r="M2" s="12" t="s">
        <v>20</v>
      </c>
      <c r="N2" s="15" t="s">
        <v>21</v>
      </c>
      <c r="O2" s="11" t="s">
        <v>22</v>
      </c>
    </row>
    <row r="3" spans="1:15" x14ac:dyDescent="0.2">
      <c r="A3" s="10" t="s">
        <v>23</v>
      </c>
      <c r="B3" s="16">
        <v>73614.5</v>
      </c>
      <c r="C3" s="17">
        <f t="shared" ref="C3:C22" si="0">(1-$K$1)*B3</f>
        <v>69933.774999999994</v>
      </c>
      <c r="D3" s="6">
        <v>240</v>
      </c>
      <c r="E3" s="6">
        <v>2</v>
      </c>
      <c r="F3" s="6">
        <v>2</v>
      </c>
      <c r="G3" s="6">
        <v>3</v>
      </c>
      <c r="H3" s="6">
        <v>2</v>
      </c>
      <c r="I3" s="18">
        <f t="shared" ref="I3:I23" si="1">$A$27+SUMPRODUCT(D3:H3,$B$27:$F$27)</f>
        <v>77922.121494012463</v>
      </c>
      <c r="J3" s="16">
        <f t="shared" ref="J3:J22" si="2">(C3-I3)*L3</f>
        <v>-7988.3464940124686</v>
      </c>
      <c r="K3" s="19">
        <f t="shared" ref="K3:K22" si="3">J3*J3</f>
        <v>63813679.7084013</v>
      </c>
      <c r="L3" s="19">
        <v>1</v>
      </c>
      <c r="M3" s="6">
        <v>1</v>
      </c>
      <c r="N3" s="20">
        <v>0</v>
      </c>
      <c r="O3" s="6">
        <v>150</v>
      </c>
    </row>
    <row r="4" spans="1:15" x14ac:dyDescent="0.2">
      <c r="A4" s="10" t="s">
        <v>24</v>
      </c>
      <c r="B4" s="16">
        <v>54683.5</v>
      </c>
      <c r="C4" s="17">
        <f t="shared" si="0"/>
        <v>51949.324999999997</v>
      </c>
      <c r="D4" s="6">
        <v>350</v>
      </c>
      <c r="E4" s="6">
        <v>2</v>
      </c>
      <c r="F4" s="6">
        <v>1</v>
      </c>
      <c r="G4" s="6">
        <v>2</v>
      </c>
      <c r="H4" s="6">
        <v>2</v>
      </c>
      <c r="I4" s="18">
        <f t="shared" si="1"/>
        <v>38737.205311491423</v>
      </c>
      <c r="J4" s="16">
        <f t="shared" si="2"/>
        <v>0</v>
      </c>
      <c r="K4" s="19">
        <f t="shared" si="3"/>
        <v>0</v>
      </c>
      <c r="L4" s="19">
        <v>0</v>
      </c>
      <c r="M4" s="6">
        <v>2</v>
      </c>
      <c r="N4" s="20">
        <v>0.05</v>
      </c>
      <c r="O4" s="6">
        <v>150</v>
      </c>
    </row>
    <row r="5" spans="1:15" x14ac:dyDescent="0.2">
      <c r="A5" s="10" t="s">
        <v>25</v>
      </c>
      <c r="B5" s="16">
        <v>71229.75</v>
      </c>
      <c r="C5" s="17">
        <f t="shared" si="0"/>
        <v>67668.262499999997</v>
      </c>
      <c r="D5" s="6">
        <v>62</v>
      </c>
      <c r="E5" s="6">
        <v>1</v>
      </c>
      <c r="F5" s="6">
        <v>2</v>
      </c>
      <c r="G5" s="6">
        <v>1</v>
      </c>
      <c r="H5" s="6">
        <v>1</v>
      </c>
      <c r="I5" s="18">
        <f t="shared" si="1"/>
        <v>72949.126735195707</v>
      </c>
      <c r="J5" s="16">
        <f t="shared" si="2"/>
        <v>-5280.8642351957096</v>
      </c>
      <c r="K5" s="19">
        <f t="shared" si="3"/>
        <v>27887527.070569169</v>
      </c>
      <c r="L5" s="19">
        <v>1</v>
      </c>
      <c r="M5" s="6">
        <v>3</v>
      </c>
      <c r="N5" s="20">
        <v>0.1</v>
      </c>
      <c r="O5" s="6">
        <v>150</v>
      </c>
    </row>
    <row r="6" spans="1:15" x14ac:dyDescent="0.2">
      <c r="A6" s="10" t="s">
        <v>26</v>
      </c>
      <c r="B6" s="16">
        <v>93074.75</v>
      </c>
      <c r="C6" s="17">
        <f t="shared" si="0"/>
        <v>88421.012499999997</v>
      </c>
      <c r="D6" s="6">
        <v>87</v>
      </c>
      <c r="E6" s="6">
        <v>1</v>
      </c>
      <c r="F6" s="6">
        <v>1</v>
      </c>
      <c r="G6" s="6">
        <v>2</v>
      </c>
      <c r="H6" s="6">
        <v>3</v>
      </c>
      <c r="I6" s="18">
        <f t="shared" si="1"/>
        <v>87810.980121648594</v>
      </c>
      <c r="J6" s="16">
        <f t="shared" si="2"/>
        <v>610.03237835140317</v>
      </c>
      <c r="K6" s="19">
        <f t="shared" si="3"/>
        <v>372139.5026370695</v>
      </c>
      <c r="L6" s="19">
        <v>1</v>
      </c>
      <c r="M6" s="6">
        <v>4</v>
      </c>
      <c r="N6" s="20">
        <v>0.15</v>
      </c>
      <c r="O6" s="6">
        <v>150</v>
      </c>
    </row>
    <row r="7" spans="1:15" x14ac:dyDescent="0.2">
      <c r="A7" s="10" t="s">
        <v>27</v>
      </c>
      <c r="B7" s="16">
        <v>107686.5</v>
      </c>
      <c r="C7" s="17">
        <f t="shared" si="0"/>
        <v>102302.17499999999</v>
      </c>
      <c r="D7" s="6">
        <v>67</v>
      </c>
      <c r="E7" s="6">
        <v>1</v>
      </c>
      <c r="F7" s="6">
        <v>2</v>
      </c>
      <c r="G7" s="6">
        <v>3</v>
      </c>
      <c r="H7" s="6">
        <v>1</v>
      </c>
      <c r="I7" s="18">
        <f t="shared" si="1"/>
        <v>97847.893731965334</v>
      </c>
      <c r="J7" s="16">
        <f t="shared" si="2"/>
        <v>4454.2812680346542</v>
      </c>
      <c r="K7" s="19">
        <f t="shared" si="3"/>
        <v>19840621.614764407</v>
      </c>
      <c r="L7" s="19">
        <v>1</v>
      </c>
      <c r="M7" s="6">
        <v>5</v>
      </c>
      <c r="N7" s="20">
        <v>0</v>
      </c>
      <c r="O7" s="6">
        <v>200</v>
      </c>
    </row>
    <row r="8" spans="1:15" x14ac:dyDescent="0.2">
      <c r="A8" s="10" t="s">
        <v>28</v>
      </c>
      <c r="B8" s="16">
        <v>82500</v>
      </c>
      <c r="C8" s="17">
        <f t="shared" si="0"/>
        <v>78375</v>
      </c>
      <c r="D8" s="6">
        <v>145</v>
      </c>
      <c r="E8" s="6">
        <v>2</v>
      </c>
      <c r="F8" s="6">
        <v>2</v>
      </c>
      <c r="G8" s="6">
        <v>3</v>
      </c>
      <c r="H8" s="6">
        <v>2</v>
      </c>
      <c r="I8" s="18">
        <f t="shared" si="1"/>
        <v>80835.910013819521</v>
      </c>
      <c r="J8" s="16">
        <f t="shared" si="2"/>
        <v>-2460.9100138195208</v>
      </c>
      <c r="K8" s="19">
        <f t="shared" si="3"/>
        <v>6056078.0961171938</v>
      </c>
      <c r="L8" s="19">
        <v>1</v>
      </c>
      <c r="M8" s="6">
        <v>6</v>
      </c>
      <c r="N8" s="20">
        <v>0.05</v>
      </c>
      <c r="O8" s="6">
        <v>200</v>
      </c>
    </row>
    <row r="9" spans="1:15" x14ac:dyDescent="0.2">
      <c r="A9" s="10" t="s">
        <v>29</v>
      </c>
      <c r="B9" s="16">
        <v>60897.75</v>
      </c>
      <c r="C9" s="17">
        <f t="shared" si="0"/>
        <v>57852.862499999996</v>
      </c>
      <c r="D9" s="6">
        <v>110</v>
      </c>
      <c r="E9" s="6">
        <v>2</v>
      </c>
      <c r="F9" s="6">
        <v>2</v>
      </c>
      <c r="G9" s="6">
        <v>3</v>
      </c>
      <c r="H9" s="6">
        <v>2</v>
      </c>
      <c r="I9" s="18">
        <f t="shared" si="1"/>
        <v>81909.411047432659</v>
      </c>
      <c r="J9" s="16">
        <f t="shared" si="2"/>
        <v>0</v>
      </c>
      <c r="K9" s="19">
        <f t="shared" si="3"/>
        <v>0</v>
      </c>
      <c r="L9" s="19">
        <v>0</v>
      </c>
      <c r="M9" s="6">
        <v>7</v>
      </c>
      <c r="N9" s="20">
        <v>0.1</v>
      </c>
      <c r="O9" s="6">
        <v>200</v>
      </c>
    </row>
    <row r="10" spans="1:15" x14ac:dyDescent="0.2">
      <c r="A10" s="10" t="s">
        <v>30</v>
      </c>
      <c r="B10" s="16">
        <v>92751.25</v>
      </c>
      <c r="C10" s="17">
        <f t="shared" si="0"/>
        <v>88113.6875</v>
      </c>
      <c r="D10" s="6">
        <v>184</v>
      </c>
      <c r="E10" s="6">
        <v>1</v>
      </c>
      <c r="F10" s="6">
        <v>2</v>
      </c>
      <c r="G10" s="6">
        <v>3</v>
      </c>
      <c r="H10" s="6">
        <v>2</v>
      </c>
      <c r="I10" s="18">
        <f t="shared" si="1"/>
        <v>107453.11880534387</v>
      </c>
      <c r="J10" s="16">
        <f t="shared" si="2"/>
        <v>0</v>
      </c>
      <c r="K10" s="19">
        <f t="shared" si="3"/>
        <v>0</v>
      </c>
      <c r="L10" s="19">
        <v>0</v>
      </c>
      <c r="M10" s="6">
        <v>8</v>
      </c>
      <c r="N10" s="20">
        <v>0.15</v>
      </c>
      <c r="O10" s="6">
        <v>200</v>
      </c>
    </row>
    <row r="11" spans="1:15" x14ac:dyDescent="0.2">
      <c r="A11" s="10" t="s">
        <v>31</v>
      </c>
      <c r="B11" s="16">
        <v>27605.75</v>
      </c>
      <c r="C11" s="17">
        <f t="shared" si="0"/>
        <v>26225.462499999998</v>
      </c>
      <c r="D11" s="6">
        <v>520</v>
      </c>
      <c r="E11" s="6">
        <v>2</v>
      </c>
      <c r="F11" s="6">
        <v>2</v>
      </c>
      <c r="G11" s="6">
        <v>1</v>
      </c>
      <c r="H11" s="6">
        <v>1</v>
      </c>
      <c r="I11" s="18">
        <f t="shared" si="1"/>
        <v>31088.203266364944</v>
      </c>
      <c r="J11" s="16">
        <f t="shared" si="2"/>
        <v>-4862.7407663649465</v>
      </c>
      <c r="K11" s="19">
        <f t="shared" si="3"/>
        <v>23646247.760867547</v>
      </c>
      <c r="L11" s="19">
        <v>1</v>
      </c>
      <c r="M11" s="6">
        <v>9</v>
      </c>
      <c r="N11" s="20">
        <v>0</v>
      </c>
      <c r="O11" s="6">
        <v>250</v>
      </c>
    </row>
    <row r="12" spans="1:15" x14ac:dyDescent="0.2">
      <c r="A12" s="10" t="s">
        <v>32</v>
      </c>
      <c r="B12" s="16">
        <v>69933.25</v>
      </c>
      <c r="C12" s="17">
        <f t="shared" si="0"/>
        <v>66436.587499999994</v>
      </c>
      <c r="D12" s="6">
        <v>450</v>
      </c>
      <c r="E12" s="6">
        <v>1</v>
      </c>
      <c r="F12" s="6">
        <v>1</v>
      </c>
      <c r="G12" s="6">
        <v>2</v>
      </c>
      <c r="H12" s="6">
        <v>2</v>
      </c>
      <c r="I12" s="18">
        <f t="shared" si="1"/>
        <v>63483.455158718614</v>
      </c>
      <c r="J12" s="16">
        <f t="shared" si="2"/>
        <v>2953.1323412813799</v>
      </c>
      <c r="K12" s="19">
        <f t="shared" si="3"/>
        <v>8720990.6251220442</v>
      </c>
      <c r="L12" s="19">
        <v>1</v>
      </c>
      <c r="M12" s="6">
        <v>10</v>
      </c>
      <c r="N12" s="20">
        <v>0.05</v>
      </c>
      <c r="O12" s="6">
        <v>250</v>
      </c>
    </row>
    <row r="13" spans="1:15" x14ac:dyDescent="0.2">
      <c r="A13" s="10" t="s">
        <v>33</v>
      </c>
      <c r="B13" s="16">
        <v>76838.25</v>
      </c>
      <c r="C13" s="17">
        <f t="shared" si="0"/>
        <v>72996.337499999994</v>
      </c>
      <c r="D13" s="6">
        <v>68</v>
      </c>
      <c r="E13" s="6">
        <v>2</v>
      </c>
      <c r="F13" s="6">
        <v>2</v>
      </c>
      <c r="G13" s="6">
        <v>2</v>
      </c>
      <c r="H13" s="6">
        <v>2</v>
      </c>
      <c r="I13" s="18">
        <f t="shared" si="1"/>
        <v>70671.550144125504</v>
      </c>
      <c r="J13" s="16">
        <f t="shared" si="2"/>
        <v>2324.7873558744905</v>
      </c>
      <c r="K13" s="19">
        <f t="shared" si="3"/>
        <v>5404636.2500339048</v>
      </c>
      <c r="L13" s="19">
        <v>1</v>
      </c>
      <c r="M13" s="6">
        <v>11</v>
      </c>
      <c r="N13" s="20">
        <v>0.1</v>
      </c>
      <c r="O13" s="6">
        <v>250</v>
      </c>
    </row>
    <row r="14" spans="1:15" x14ac:dyDescent="0.2">
      <c r="A14" s="10" t="s">
        <v>34</v>
      </c>
      <c r="B14" s="16">
        <v>81250</v>
      </c>
      <c r="C14" s="17">
        <f t="shared" si="0"/>
        <v>77187.5</v>
      </c>
      <c r="D14" s="6">
        <v>40</v>
      </c>
      <c r="E14" s="6">
        <v>2</v>
      </c>
      <c r="F14" s="6">
        <v>2</v>
      </c>
      <c r="G14" s="6">
        <v>2</v>
      </c>
      <c r="H14" s="6">
        <v>3</v>
      </c>
      <c r="I14" s="18">
        <f t="shared" si="1"/>
        <v>84724.136642472702</v>
      </c>
      <c r="J14" s="16">
        <f t="shared" si="2"/>
        <v>-7536.6366424727021</v>
      </c>
      <c r="K14" s="19">
        <f t="shared" si="3"/>
        <v>56800891.880662203</v>
      </c>
      <c r="L14" s="19">
        <v>1</v>
      </c>
      <c r="M14" s="6">
        <v>12</v>
      </c>
      <c r="N14" s="20">
        <v>0.15</v>
      </c>
      <c r="O14" s="6">
        <v>300</v>
      </c>
    </row>
    <row r="15" spans="1:15" x14ac:dyDescent="0.2">
      <c r="A15" s="10" t="s">
        <v>35</v>
      </c>
      <c r="B15" s="16">
        <v>55194.75</v>
      </c>
      <c r="C15" s="17">
        <f t="shared" si="0"/>
        <v>52435.012499999997</v>
      </c>
      <c r="D15" s="6">
        <v>77</v>
      </c>
      <c r="E15" s="6">
        <v>2</v>
      </c>
      <c r="F15" s="6">
        <v>2</v>
      </c>
      <c r="G15" s="6">
        <v>1</v>
      </c>
      <c r="H15" s="6">
        <v>1</v>
      </c>
      <c r="I15" s="18">
        <f t="shared" si="1"/>
        <v>44675.659206096811</v>
      </c>
      <c r="J15" s="16">
        <f t="shared" si="2"/>
        <v>7759.3532939031866</v>
      </c>
      <c r="K15" s="19">
        <f t="shared" si="3"/>
        <v>60207563.539606228</v>
      </c>
      <c r="L15" s="19">
        <v>1</v>
      </c>
      <c r="M15" s="6">
        <v>13</v>
      </c>
      <c r="N15" s="20">
        <v>0</v>
      </c>
      <c r="O15" s="6">
        <v>300</v>
      </c>
    </row>
    <row r="16" spans="1:15" x14ac:dyDescent="0.2">
      <c r="A16" s="10" t="s">
        <v>36</v>
      </c>
      <c r="B16" s="16">
        <v>92307.75</v>
      </c>
      <c r="C16" s="17">
        <f t="shared" si="0"/>
        <v>87692.362500000003</v>
      </c>
      <c r="D16" s="6">
        <v>65</v>
      </c>
      <c r="E16" s="6">
        <v>2</v>
      </c>
      <c r="F16" s="6">
        <v>2</v>
      </c>
      <c r="G16" s="6">
        <v>2</v>
      </c>
      <c r="H16" s="6">
        <v>3</v>
      </c>
      <c r="I16" s="18">
        <f t="shared" si="1"/>
        <v>83957.350189891906</v>
      </c>
      <c r="J16" s="16">
        <f t="shared" si="2"/>
        <v>3735.0123101080972</v>
      </c>
      <c r="K16" s="19">
        <f t="shared" si="3"/>
        <v>13950316.956659025</v>
      </c>
      <c r="L16" s="19">
        <v>1</v>
      </c>
      <c r="M16" s="6">
        <v>14</v>
      </c>
      <c r="N16" s="20">
        <v>0.05</v>
      </c>
      <c r="O16" s="6">
        <v>300</v>
      </c>
    </row>
    <row r="17" spans="1:15" x14ac:dyDescent="0.2">
      <c r="A17" s="10" t="s">
        <v>37</v>
      </c>
      <c r="B17" s="16">
        <v>88333.25</v>
      </c>
      <c r="C17" s="17">
        <f t="shared" si="0"/>
        <v>83916.587499999994</v>
      </c>
      <c r="D17" s="6">
        <v>243</v>
      </c>
      <c r="E17" s="6">
        <v>2</v>
      </c>
      <c r="F17" s="6">
        <v>2</v>
      </c>
      <c r="G17" s="6">
        <v>2</v>
      </c>
      <c r="H17" s="6">
        <v>3</v>
      </c>
      <c r="I17" s="18">
        <f t="shared" si="1"/>
        <v>78497.830647516574</v>
      </c>
      <c r="J17" s="16">
        <f t="shared" si="2"/>
        <v>5418.7568524834205</v>
      </c>
      <c r="K17" s="19">
        <f t="shared" si="3"/>
        <v>29362925.826336026</v>
      </c>
      <c r="L17" s="19">
        <v>1</v>
      </c>
      <c r="M17" s="6">
        <v>15</v>
      </c>
      <c r="N17" s="20">
        <v>0.1</v>
      </c>
      <c r="O17" s="6">
        <v>300</v>
      </c>
    </row>
    <row r="18" spans="1:15" x14ac:dyDescent="0.2">
      <c r="A18" s="10" t="s">
        <v>38</v>
      </c>
      <c r="B18" s="16">
        <v>72368.5</v>
      </c>
      <c r="C18" s="17">
        <f t="shared" si="0"/>
        <v>68750.074999999997</v>
      </c>
      <c r="D18" s="6">
        <v>114</v>
      </c>
      <c r="E18" s="6">
        <v>2</v>
      </c>
      <c r="F18" s="6">
        <v>2</v>
      </c>
      <c r="G18" s="6">
        <v>3</v>
      </c>
      <c r="H18" s="6">
        <v>1</v>
      </c>
      <c r="I18" s="18">
        <f t="shared" si="1"/>
        <v>68592.939543563029</v>
      </c>
      <c r="J18" s="16">
        <f t="shared" si="2"/>
        <v>157.13545643696852</v>
      </c>
      <c r="K18" s="19">
        <f t="shared" si="3"/>
        <v>24691.551669654433</v>
      </c>
      <c r="L18" s="19">
        <v>1</v>
      </c>
      <c r="M18" s="6">
        <v>16</v>
      </c>
      <c r="N18" s="20">
        <v>0.15</v>
      </c>
      <c r="O18" s="6">
        <v>300</v>
      </c>
    </row>
    <row r="19" spans="1:15" x14ac:dyDescent="0.2">
      <c r="A19" s="10" t="s">
        <v>39</v>
      </c>
      <c r="B19" s="16">
        <v>56520.5</v>
      </c>
      <c r="C19" s="17">
        <f t="shared" si="0"/>
        <v>53694.474999999999</v>
      </c>
      <c r="D19" s="6">
        <v>1081</v>
      </c>
      <c r="E19" s="6">
        <v>2</v>
      </c>
      <c r="F19" s="6">
        <v>2</v>
      </c>
      <c r="G19" s="6">
        <v>3</v>
      </c>
      <c r="H19" s="6">
        <v>2</v>
      </c>
      <c r="I19" s="18">
        <f t="shared" si="1"/>
        <v>52127.425229194181</v>
      </c>
      <c r="J19" s="16">
        <f t="shared" si="2"/>
        <v>1567.0497708058174</v>
      </c>
      <c r="K19" s="19">
        <f t="shared" si="3"/>
        <v>2455644.984182565</v>
      </c>
      <c r="L19" s="19">
        <v>1</v>
      </c>
      <c r="M19" s="6">
        <v>17</v>
      </c>
      <c r="N19" s="20">
        <v>0</v>
      </c>
      <c r="O19" s="6">
        <v>400</v>
      </c>
    </row>
    <row r="20" spans="1:15" x14ac:dyDescent="0.2">
      <c r="A20" s="10" t="s">
        <v>40</v>
      </c>
      <c r="B20" s="16">
        <v>93797.25</v>
      </c>
      <c r="C20" s="17">
        <f t="shared" si="0"/>
        <v>89107.387499999997</v>
      </c>
      <c r="D20" s="6">
        <v>53</v>
      </c>
      <c r="E20" s="6">
        <v>2</v>
      </c>
      <c r="F20" s="6">
        <v>2</v>
      </c>
      <c r="G20" s="6">
        <v>3</v>
      </c>
      <c r="H20" s="6">
        <v>2</v>
      </c>
      <c r="I20" s="18">
        <f t="shared" si="1"/>
        <v>83657.684159316894</v>
      </c>
      <c r="J20" s="16">
        <f t="shared" si="2"/>
        <v>5449.7033406831033</v>
      </c>
      <c r="K20" s="19">
        <f t="shared" si="3"/>
        <v>29699266.501452576</v>
      </c>
      <c r="L20" s="19">
        <v>1</v>
      </c>
      <c r="M20" s="6">
        <v>18</v>
      </c>
      <c r="N20" s="20">
        <v>0.05</v>
      </c>
      <c r="O20" s="6">
        <v>400</v>
      </c>
    </row>
    <row r="21" spans="1:15" x14ac:dyDescent="0.2">
      <c r="A21" s="10" t="s">
        <v>41</v>
      </c>
      <c r="B21" s="16">
        <v>99431.75</v>
      </c>
      <c r="C21" s="17">
        <f t="shared" si="0"/>
        <v>94460.162499999991</v>
      </c>
      <c r="D21" s="6">
        <v>110</v>
      </c>
      <c r="E21" s="6">
        <v>1</v>
      </c>
      <c r="F21" s="6">
        <v>2</v>
      </c>
      <c r="G21" s="6">
        <v>2</v>
      </c>
      <c r="H21" s="6">
        <v>2</v>
      </c>
      <c r="I21" s="18">
        <f t="shared" si="1"/>
        <v>97196.744561340165</v>
      </c>
      <c r="J21" s="16">
        <f t="shared" si="2"/>
        <v>-2736.5820613401738</v>
      </c>
      <c r="K21" s="19">
        <f t="shared" si="3"/>
        <v>7488881.3784488346</v>
      </c>
      <c r="L21" s="19">
        <v>1</v>
      </c>
      <c r="M21" s="6">
        <v>19</v>
      </c>
      <c r="N21" s="20">
        <v>0.1</v>
      </c>
      <c r="O21" s="6">
        <v>400</v>
      </c>
    </row>
    <row r="22" spans="1:15" x14ac:dyDescent="0.2">
      <c r="A22" s="10" t="s">
        <v>42</v>
      </c>
      <c r="B22" s="16">
        <v>59121.5</v>
      </c>
      <c r="C22" s="17">
        <f t="shared" si="0"/>
        <v>56165.424999999996</v>
      </c>
      <c r="D22" s="6">
        <v>74</v>
      </c>
      <c r="E22" s="6">
        <v>2</v>
      </c>
      <c r="F22" s="6">
        <v>1</v>
      </c>
      <c r="G22" s="6">
        <v>3</v>
      </c>
      <c r="H22" s="6">
        <v>2</v>
      </c>
      <c r="I22" s="18">
        <f t="shared" si="1"/>
        <v>59728.589891626412</v>
      </c>
      <c r="J22" s="16">
        <f t="shared" si="2"/>
        <v>-3563.1648916264166</v>
      </c>
      <c r="K22" s="19">
        <f t="shared" si="3"/>
        <v>12696144.044919094</v>
      </c>
      <c r="L22" s="19">
        <v>1</v>
      </c>
      <c r="M22" s="6">
        <v>20</v>
      </c>
      <c r="N22" s="20">
        <v>0.15</v>
      </c>
      <c r="O22" s="6">
        <v>400</v>
      </c>
    </row>
    <row r="23" spans="1:15" ht="17.25" customHeight="1" x14ac:dyDescent="0.2">
      <c r="A23" s="3" t="s">
        <v>43</v>
      </c>
      <c r="B23" s="3"/>
      <c r="C23" s="3"/>
      <c r="D23" s="21">
        <v>500</v>
      </c>
      <c r="E23" s="6">
        <v>2</v>
      </c>
      <c r="F23" s="6">
        <v>2</v>
      </c>
      <c r="G23" s="6">
        <v>2</v>
      </c>
      <c r="H23" s="6">
        <v>2</v>
      </c>
      <c r="I23" s="22">
        <f t="shared" si="1"/>
        <v>57421.4802435292</v>
      </c>
      <c r="J23" s="23">
        <f>AVERAGE(J3:J22)</f>
        <v>-3.6843470843450633E-5</v>
      </c>
      <c r="K23" s="16">
        <f>AVERAGE(K3:K22)</f>
        <v>18421412.36462244</v>
      </c>
      <c r="M23" s="6">
        <v>21</v>
      </c>
      <c r="N23" s="20">
        <v>0</v>
      </c>
      <c r="O23" s="6">
        <v>450</v>
      </c>
    </row>
    <row r="24" spans="1:15" x14ac:dyDescent="0.2">
      <c r="A24" s="24"/>
      <c r="M24" s="6">
        <v>22</v>
      </c>
      <c r="N24" s="20">
        <v>0.05</v>
      </c>
      <c r="O24" s="6">
        <v>450</v>
      </c>
    </row>
    <row r="25" spans="1:15" x14ac:dyDescent="0.2">
      <c r="M25" s="6">
        <v>23</v>
      </c>
      <c r="N25" s="20">
        <v>0.1</v>
      </c>
      <c r="O25" s="6">
        <v>450</v>
      </c>
    </row>
    <row r="26" spans="1:15" x14ac:dyDescent="0.2">
      <c r="A26" s="19" t="s">
        <v>44</v>
      </c>
      <c r="B26" s="19" t="s">
        <v>45</v>
      </c>
      <c r="C26" s="19" t="s">
        <v>46</v>
      </c>
      <c r="D26" s="19" t="s">
        <v>47</v>
      </c>
      <c r="E26" s="19" t="s">
        <v>48</v>
      </c>
      <c r="F26" s="19" t="s">
        <v>49</v>
      </c>
      <c r="G26" s="19"/>
      <c r="H26" s="19" t="s">
        <v>50</v>
      </c>
      <c r="I26" s="19"/>
      <c r="M26" s="6">
        <v>24</v>
      </c>
      <c r="N26" s="20">
        <v>0.15</v>
      </c>
      <c r="O26" s="6">
        <v>450</v>
      </c>
    </row>
    <row r="27" spans="1:15" ht="15" x14ac:dyDescent="0.2">
      <c r="A27" s="25">
        <v>30374.317685001701</v>
      </c>
      <c r="B27" s="25">
        <v>-30.671458103232201</v>
      </c>
      <c r="C27" s="25">
        <v>-27813.395657550402</v>
      </c>
      <c r="D27" s="25">
        <v>23284.993647522599</v>
      </c>
      <c r="E27" s="25">
        <v>12526.062143642899</v>
      </c>
      <c r="F27" s="25">
        <v>13193.785671456701</v>
      </c>
      <c r="H27" s="26">
        <f>1-(G30/G32)</f>
        <v>0.94270246303733252</v>
      </c>
      <c r="I27" s="26"/>
      <c r="L27" s="27"/>
      <c r="M27" s="6">
        <v>25</v>
      </c>
      <c r="N27" s="20">
        <v>0</v>
      </c>
      <c r="O27" s="6">
        <v>500</v>
      </c>
    </row>
    <row r="28" spans="1:15" ht="15" x14ac:dyDescent="0.2">
      <c r="B28" t="s">
        <v>51</v>
      </c>
      <c r="H28" s="26"/>
      <c r="I28" s="26"/>
      <c r="L28" s="27"/>
      <c r="M28" s="6">
        <v>26</v>
      </c>
      <c r="N28" s="20">
        <v>0.05</v>
      </c>
      <c r="O28" s="6">
        <v>500</v>
      </c>
    </row>
    <row r="29" spans="1:15" x14ac:dyDescent="0.2">
      <c r="A29" s="25">
        <v>40125.792140979902</v>
      </c>
      <c r="B29" s="25">
        <v>-32.184711189481298</v>
      </c>
      <c r="C29" s="25">
        <v>-23146.170153361702</v>
      </c>
      <c r="D29" s="25">
        <v>17861.0028174293</v>
      </c>
      <c r="E29" s="25">
        <v>11069.833380964899</v>
      </c>
      <c r="F29" s="25">
        <v>12782.6285234553</v>
      </c>
      <c r="M29" s="6">
        <v>27</v>
      </c>
      <c r="N29" s="20">
        <v>0.1</v>
      </c>
      <c r="O29" s="6">
        <v>500</v>
      </c>
    </row>
    <row r="30" spans="1:15" x14ac:dyDescent="0.2">
      <c r="G30">
        <f>VAR(J3:J22)</f>
        <v>19390960.383813094</v>
      </c>
      <c r="M30" s="6">
        <v>28</v>
      </c>
      <c r="N30" s="20">
        <v>0.15</v>
      </c>
      <c r="O30" s="6">
        <v>500</v>
      </c>
    </row>
    <row r="31" spans="1:15" x14ac:dyDescent="0.2">
      <c r="M31" s="6">
        <v>29</v>
      </c>
      <c r="N31" s="20">
        <v>0</v>
      </c>
      <c r="O31" s="6">
        <v>550</v>
      </c>
    </row>
    <row r="32" spans="1:15" x14ac:dyDescent="0.2">
      <c r="G32">
        <f>VAR(C3:C22)</f>
        <v>338425723.19378018</v>
      </c>
      <c r="M32" s="6">
        <v>30</v>
      </c>
      <c r="N32" s="20">
        <v>0.05</v>
      </c>
      <c r="O32" s="6">
        <v>550</v>
      </c>
    </row>
    <row r="33" spans="11:15" x14ac:dyDescent="0.2">
      <c r="K33" s="28"/>
      <c r="M33" s="6">
        <v>31</v>
      </c>
      <c r="N33" s="20">
        <v>0.1</v>
      </c>
      <c r="O33" s="6">
        <v>550</v>
      </c>
    </row>
    <row r="34" spans="11:15" x14ac:dyDescent="0.2">
      <c r="K34" s="28"/>
      <c r="M34" s="6">
        <v>32</v>
      </c>
      <c r="N34" s="20">
        <v>0.15</v>
      </c>
      <c r="O34" s="6">
        <v>550</v>
      </c>
    </row>
    <row r="35" spans="11:15" x14ac:dyDescent="0.2">
      <c r="M35" s="6">
        <v>33</v>
      </c>
      <c r="N35" s="20">
        <v>0.05</v>
      </c>
      <c r="O35" s="6">
        <v>600</v>
      </c>
    </row>
    <row r="36" spans="11:15" x14ac:dyDescent="0.2">
      <c r="M36" s="6">
        <v>34</v>
      </c>
      <c r="N36" s="20">
        <v>0.1</v>
      </c>
      <c r="O36" s="6">
        <v>600</v>
      </c>
    </row>
    <row r="37" spans="11:15" x14ac:dyDescent="0.2">
      <c r="M37" s="6">
        <v>35</v>
      </c>
      <c r="N37" s="20">
        <v>0.15</v>
      </c>
      <c r="O37" s="6">
        <v>600</v>
      </c>
    </row>
  </sheetData>
  <mergeCells count="1">
    <mergeCell ref="A23:C23"/>
  </mergeCells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4:N32"/>
  <sheetViews>
    <sheetView tabSelected="1" zoomScale="114" zoomScaleNormal="114" workbookViewId="0">
      <selection activeCell="L32" sqref="L32"/>
    </sheetView>
  </sheetViews>
  <sheetFormatPr defaultColWidth="8.7109375" defaultRowHeight="12.75" x14ac:dyDescent="0.2"/>
  <cols>
    <col min="1" max="1" width="4.28515625" customWidth="1"/>
    <col min="7" max="7" width="14.140625" customWidth="1"/>
    <col min="11" max="11" width="12.85546875" customWidth="1"/>
    <col min="13" max="13" width="15.42578125" customWidth="1"/>
    <col min="14" max="14" width="11.140625" customWidth="1"/>
    <col min="15" max="15" width="6.85546875" customWidth="1"/>
  </cols>
  <sheetData>
    <row r="14" spans="2:14" ht="20.25" x14ac:dyDescent="0.3">
      <c r="B14" s="29" t="s">
        <v>52</v>
      </c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</row>
    <row r="16" spans="2:14" ht="15.75" x14ac:dyDescent="0.25">
      <c r="B16" s="31" t="s">
        <v>53</v>
      </c>
      <c r="E16" s="32" t="s">
        <v>54</v>
      </c>
      <c r="J16" s="31" t="s">
        <v>53</v>
      </c>
      <c r="M16" s="32" t="s">
        <v>55</v>
      </c>
    </row>
    <row r="17" spans="3:14" x14ac:dyDescent="0.2">
      <c r="C17" t="s">
        <v>56</v>
      </c>
      <c r="G17" s="33">
        <f>'ОЦЕНКА МНК'!G30</f>
        <v>19390960.383813094</v>
      </c>
      <c r="I17" t="s">
        <v>56</v>
      </c>
      <c r="M17" s="34">
        <f>G17</f>
        <v>19390960.383813094</v>
      </c>
    </row>
    <row r="18" spans="3:14" x14ac:dyDescent="0.2">
      <c r="C18" t="s">
        <v>57</v>
      </c>
      <c r="G18" s="26">
        <f>SQRT(G17)</f>
        <v>4403.5168199761765</v>
      </c>
      <c r="I18" t="s">
        <v>58</v>
      </c>
      <c r="M18" s="34">
        <f>'ОЦЕНКА МНК'!G32</f>
        <v>338425723.19378018</v>
      </c>
    </row>
    <row r="19" spans="3:14" ht="20.25" x14ac:dyDescent="0.3">
      <c r="C19" t="s">
        <v>59</v>
      </c>
      <c r="G19" s="26">
        <f>1.96*G18</f>
        <v>8630.892967153306</v>
      </c>
      <c r="I19" t="s">
        <v>60</v>
      </c>
      <c r="M19" s="35">
        <f>1-M17/M18</f>
        <v>0.94270246303733252</v>
      </c>
      <c r="N19" s="36" t="str">
        <f>IF(M19&lt;0.9,"Высокая","Оч. выс")</f>
        <v>Оч. выс</v>
      </c>
    </row>
    <row r="20" spans="3:14" x14ac:dyDescent="0.2">
      <c r="G20" s="37"/>
      <c r="I20" t="s">
        <v>61</v>
      </c>
      <c r="N20">
        <v>1</v>
      </c>
    </row>
    <row r="22" spans="3:14" ht="18" x14ac:dyDescent="0.25">
      <c r="E22" s="38" t="s">
        <v>62</v>
      </c>
      <c r="F22" s="30"/>
      <c r="G22" s="30"/>
      <c r="I22" t="s">
        <v>63</v>
      </c>
      <c r="K22" s="39">
        <f>'ОЦЕНКА МНК'!I23/1000</f>
        <v>57.421480243529203</v>
      </c>
      <c r="L22" s="40" t="s">
        <v>64</v>
      </c>
    </row>
    <row r="23" spans="3:14" ht="18" x14ac:dyDescent="0.25">
      <c r="I23" t="s">
        <v>65</v>
      </c>
      <c r="K23" s="39">
        <f>G19/1000</f>
        <v>8.6308929671533061</v>
      </c>
      <c r="L23" s="19" t="s">
        <v>66</v>
      </c>
    </row>
    <row r="24" spans="3:14" ht="18" x14ac:dyDescent="0.25">
      <c r="I24" t="s">
        <v>67</v>
      </c>
      <c r="K24" s="41">
        <f>K23/K22</f>
        <v>0.15030774077138001</v>
      </c>
      <c r="L24" s="19" t="s">
        <v>68</v>
      </c>
    </row>
    <row r="25" spans="3:14" ht="27" customHeight="1" x14ac:dyDescent="0.2">
      <c r="I25" s="2" t="s">
        <v>69</v>
      </c>
      <c r="J25" s="2"/>
      <c r="K25" s="42">
        <f>'ОЦЕНКА МНК'!$D$23*K22/1000</f>
        <v>28.710740121764601</v>
      </c>
      <c r="L25" s="43" t="s">
        <v>70</v>
      </c>
    </row>
    <row r="26" spans="3:14" ht="18" x14ac:dyDescent="0.2">
      <c r="I26" t="s">
        <v>65</v>
      </c>
      <c r="K26" s="42">
        <f>'ОЦЕНКА МНК'!$D$23*K23/1000</f>
        <v>4.3154464835766531</v>
      </c>
      <c r="L26" s="43" t="s">
        <v>70</v>
      </c>
    </row>
    <row r="27" spans="3:14" ht="18" x14ac:dyDescent="0.25">
      <c r="K27" s="41"/>
      <c r="L27" s="19"/>
    </row>
    <row r="28" spans="3:14" x14ac:dyDescent="0.2">
      <c r="E28" s="44"/>
      <c r="F28" s="44"/>
      <c r="G28" s="44"/>
      <c r="H28" s="44"/>
      <c r="I28" s="44"/>
      <c r="K28" s="44" t="s">
        <v>71</v>
      </c>
    </row>
    <row r="29" spans="3:14" x14ac:dyDescent="0.2">
      <c r="E29" s="44" t="s">
        <v>72</v>
      </c>
      <c r="F29" s="44"/>
      <c r="G29" s="44"/>
      <c r="H29" s="44"/>
      <c r="I29" s="44"/>
      <c r="J29" s="44" t="s">
        <v>73</v>
      </c>
      <c r="K29" s="5" t="s">
        <v>74</v>
      </c>
    </row>
    <row r="31" spans="3:14" x14ac:dyDescent="0.2">
      <c r="E31" s="44"/>
      <c r="F31" s="44"/>
      <c r="G31" s="44"/>
      <c r="H31" s="44"/>
      <c r="I31" s="44"/>
      <c r="K31" s="44" t="s">
        <v>71</v>
      </c>
    </row>
    <row r="32" spans="3:14" ht="30" customHeight="1" x14ac:dyDescent="0.2">
      <c r="E32" s="1" t="s">
        <v>75</v>
      </c>
      <c r="F32" s="1"/>
      <c r="G32" s="1"/>
      <c r="H32" s="1"/>
      <c r="I32" s="1"/>
      <c r="J32" s="45" t="s">
        <v>73</v>
      </c>
      <c r="K32" s="46" t="s">
        <v>74</v>
      </c>
    </row>
  </sheetData>
  <mergeCells count="2">
    <mergeCell ref="I25:J25"/>
    <mergeCell ref="E32:I32"/>
  </mergeCells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M34"/>
  <sheetViews>
    <sheetView zoomScaleNormal="100" workbookViewId="0">
      <selection activeCell="I18" sqref="I18"/>
    </sheetView>
  </sheetViews>
  <sheetFormatPr defaultColWidth="8.85546875" defaultRowHeight="15" x14ac:dyDescent="0.25"/>
  <cols>
    <col min="1" max="4" width="8.85546875" style="47"/>
    <col min="5" max="5" width="10.140625" style="47" customWidth="1"/>
    <col min="6" max="260" width="8.85546875" style="47"/>
    <col min="261" max="261" width="10.140625" style="47" customWidth="1"/>
    <col min="262" max="516" width="8.85546875" style="47"/>
    <col min="517" max="517" width="10.140625" style="47" customWidth="1"/>
    <col min="518" max="772" width="8.85546875" style="47"/>
    <col min="773" max="773" width="10.140625" style="47" customWidth="1"/>
    <col min="774" max="1028" width="8.85546875" style="47"/>
    <col min="1029" max="1029" width="10.140625" style="47" customWidth="1"/>
    <col min="1030" max="1284" width="8.85546875" style="47"/>
    <col min="1285" max="1285" width="10.140625" style="47" customWidth="1"/>
    <col min="1286" max="1540" width="8.85546875" style="47"/>
    <col min="1541" max="1541" width="10.140625" style="47" customWidth="1"/>
    <col min="1542" max="1796" width="8.85546875" style="47"/>
    <col min="1797" max="1797" width="10.140625" style="47" customWidth="1"/>
    <col min="1798" max="2052" width="8.85546875" style="47"/>
    <col min="2053" max="2053" width="10.140625" style="47" customWidth="1"/>
    <col min="2054" max="2308" width="8.85546875" style="47"/>
    <col min="2309" max="2309" width="10.140625" style="47" customWidth="1"/>
    <col min="2310" max="2564" width="8.85546875" style="47"/>
    <col min="2565" max="2565" width="10.140625" style="47" customWidth="1"/>
    <col min="2566" max="2820" width="8.85546875" style="47"/>
    <col min="2821" max="2821" width="10.140625" style="47" customWidth="1"/>
    <col min="2822" max="3076" width="8.85546875" style="47"/>
    <col min="3077" max="3077" width="10.140625" style="47" customWidth="1"/>
    <col min="3078" max="3332" width="8.85546875" style="47"/>
    <col min="3333" max="3333" width="10.140625" style="47" customWidth="1"/>
    <col min="3334" max="3588" width="8.85546875" style="47"/>
    <col min="3589" max="3589" width="10.140625" style="47" customWidth="1"/>
    <col min="3590" max="3844" width="8.85546875" style="47"/>
    <col min="3845" max="3845" width="10.140625" style="47" customWidth="1"/>
    <col min="3846" max="4100" width="8.85546875" style="47"/>
    <col min="4101" max="4101" width="10.140625" style="47" customWidth="1"/>
    <col min="4102" max="4356" width="8.85546875" style="47"/>
    <col min="4357" max="4357" width="10.140625" style="47" customWidth="1"/>
    <col min="4358" max="4612" width="8.85546875" style="47"/>
    <col min="4613" max="4613" width="10.140625" style="47" customWidth="1"/>
    <col min="4614" max="4868" width="8.85546875" style="47"/>
    <col min="4869" max="4869" width="10.140625" style="47" customWidth="1"/>
    <col min="4870" max="5124" width="8.85546875" style="47"/>
    <col min="5125" max="5125" width="10.140625" style="47" customWidth="1"/>
    <col min="5126" max="5380" width="8.85546875" style="47"/>
    <col min="5381" max="5381" width="10.140625" style="47" customWidth="1"/>
    <col min="5382" max="5636" width="8.85546875" style="47"/>
    <col min="5637" max="5637" width="10.140625" style="47" customWidth="1"/>
    <col min="5638" max="5892" width="8.85546875" style="47"/>
    <col min="5893" max="5893" width="10.140625" style="47" customWidth="1"/>
    <col min="5894" max="6148" width="8.85546875" style="47"/>
    <col min="6149" max="6149" width="10.140625" style="47" customWidth="1"/>
    <col min="6150" max="6404" width="8.85546875" style="47"/>
    <col min="6405" max="6405" width="10.140625" style="47" customWidth="1"/>
    <col min="6406" max="6660" width="8.85546875" style="47"/>
    <col min="6661" max="6661" width="10.140625" style="47" customWidth="1"/>
    <col min="6662" max="6916" width="8.85546875" style="47"/>
    <col min="6917" max="6917" width="10.140625" style="47" customWidth="1"/>
    <col min="6918" max="7172" width="8.85546875" style="47"/>
    <col min="7173" max="7173" width="10.140625" style="47" customWidth="1"/>
    <col min="7174" max="7428" width="8.85546875" style="47"/>
    <col min="7429" max="7429" width="10.140625" style="47" customWidth="1"/>
    <col min="7430" max="7684" width="8.85546875" style="47"/>
    <col min="7685" max="7685" width="10.140625" style="47" customWidth="1"/>
    <col min="7686" max="7940" width="8.85546875" style="47"/>
    <col min="7941" max="7941" width="10.140625" style="47" customWidth="1"/>
    <col min="7942" max="8196" width="8.85546875" style="47"/>
    <col min="8197" max="8197" width="10.140625" style="47" customWidth="1"/>
    <col min="8198" max="8452" width="8.85546875" style="47"/>
    <col min="8453" max="8453" width="10.140625" style="47" customWidth="1"/>
    <col min="8454" max="8708" width="8.85546875" style="47"/>
    <col min="8709" max="8709" width="10.140625" style="47" customWidth="1"/>
    <col min="8710" max="8964" width="8.85546875" style="47"/>
    <col min="8965" max="8965" width="10.140625" style="47" customWidth="1"/>
    <col min="8966" max="9220" width="8.85546875" style="47"/>
    <col min="9221" max="9221" width="10.140625" style="47" customWidth="1"/>
    <col min="9222" max="9476" width="8.85546875" style="47"/>
    <col min="9477" max="9477" width="10.140625" style="47" customWidth="1"/>
    <col min="9478" max="9732" width="8.85546875" style="47"/>
    <col min="9733" max="9733" width="10.140625" style="47" customWidth="1"/>
    <col min="9734" max="9988" width="8.85546875" style="47"/>
    <col min="9989" max="9989" width="10.140625" style="47" customWidth="1"/>
    <col min="9990" max="10244" width="8.85546875" style="47"/>
    <col min="10245" max="10245" width="10.140625" style="47" customWidth="1"/>
    <col min="10246" max="10500" width="8.85546875" style="47"/>
    <col min="10501" max="10501" width="10.140625" style="47" customWidth="1"/>
    <col min="10502" max="10756" width="8.85546875" style="47"/>
    <col min="10757" max="10757" width="10.140625" style="47" customWidth="1"/>
    <col min="10758" max="11012" width="8.85546875" style="47"/>
    <col min="11013" max="11013" width="10.140625" style="47" customWidth="1"/>
    <col min="11014" max="11268" width="8.85546875" style="47"/>
    <col min="11269" max="11269" width="10.140625" style="47" customWidth="1"/>
    <col min="11270" max="11524" width="8.85546875" style="47"/>
    <col min="11525" max="11525" width="10.140625" style="47" customWidth="1"/>
    <col min="11526" max="11780" width="8.85546875" style="47"/>
    <col min="11781" max="11781" width="10.140625" style="47" customWidth="1"/>
    <col min="11782" max="12036" width="8.85546875" style="47"/>
    <col min="12037" max="12037" width="10.140625" style="47" customWidth="1"/>
    <col min="12038" max="12292" width="8.85546875" style="47"/>
    <col min="12293" max="12293" width="10.140625" style="47" customWidth="1"/>
    <col min="12294" max="12548" width="8.85546875" style="47"/>
    <col min="12549" max="12549" width="10.140625" style="47" customWidth="1"/>
    <col min="12550" max="12804" width="8.85546875" style="47"/>
    <col min="12805" max="12805" width="10.140625" style="47" customWidth="1"/>
    <col min="12806" max="13060" width="8.85546875" style="47"/>
    <col min="13061" max="13061" width="10.140625" style="47" customWidth="1"/>
    <col min="13062" max="13316" width="8.85546875" style="47"/>
    <col min="13317" max="13317" width="10.140625" style="47" customWidth="1"/>
    <col min="13318" max="13572" width="8.85546875" style="47"/>
    <col min="13573" max="13573" width="10.140625" style="47" customWidth="1"/>
    <col min="13574" max="13828" width="8.85546875" style="47"/>
    <col min="13829" max="13829" width="10.140625" style="47" customWidth="1"/>
    <col min="13830" max="14084" width="8.85546875" style="47"/>
    <col min="14085" max="14085" width="10.140625" style="47" customWidth="1"/>
    <col min="14086" max="14340" width="8.85546875" style="47"/>
    <col min="14341" max="14341" width="10.140625" style="47" customWidth="1"/>
    <col min="14342" max="14596" width="8.85546875" style="47"/>
    <col min="14597" max="14597" width="10.140625" style="47" customWidth="1"/>
    <col min="14598" max="14852" width="8.85546875" style="47"/>
    <col min="14853" max="14853" width="10.140625" style="47" customWidth="1"/>
    <col min="14854" max="15108" width="8.85546875" style="47"/>
    <col min="15109" max="15109" width="10.140625" style="47" customWidth="1"/>
    <col min="15110" max="15364" width="8.85546875" style="47"/>
    <col min="15365" max="15365" width="10.140625" style="47" customWidth="1"/>
    <col min="15366" max="15620" width="8.85546875" style="47"/>
    <col min="15621" max="15621" width="10.140625" style="47" customWidth="1"/>
    <col min="15622" max="15876" width="8.85546875" style="47"/>
    <col min="15877" max="15877" width="10.140625" style="47" customWidth="1"/>
    <col min="15878" max="16132" width="8.85546875" style="47"/>
    <col min="16133" max="16133" width="10.140625" style="47" customWidth="1"/>
    <col min="16134" max="16384" width="8.85546875" style="47"/>
  </cols>
  <sheetData>
    <row r="1" spans="2:12" ht="23.25" x14ac:dyDescent="0.35">
      <c r="C1" s="48" t="s">
        <v>76</v>
      </c>
      <c r="D1" s="49"/>
      <c r="E1" s="49"/>
      <c r="F1" s="49"/>
      <c r="G1" s="49"/>
      <c r="H1" s="49"/>
      <c r="I1" s="49"/>
      <c r="J1" s="49"/>
      <c r="K1" s="49"/>
      <c r="L1" s="49"/>
    </row>
    <row r="3" spans="2:12" x14ac:dyDescent="0.25">
      <c r="B3" s="47" t="s">
        <v>77</v>
      </c>
    </row>
    <row r="4" spans="2:12" x14ac:dyDescent="0.25">
      <c r="B4" s="47" t="s">
        <v>78</v>
      </c>
    </row>
    <row r="5" spans="2:12" x14ac:dyDescent="0.25">
      <c r="B5" s="50" t="s">
        <v>79</v>
      </c>
      <c r="C5" s="50"/>
      <c r="D5" s="50"/>
      <c r="F5" s="51" t="s">
        <v>80</v>
      </c>
      <c r="G5" s="51"/>
      <c r="H5" s="51"/>
      <c r="I5" s="51"/>
      <c r="J5" s="51"/>
      <c r="K5" s="51"/>
    </row>
    <row r="6" spans="2:12" x14ac:dyDescent="0.25">
      <c r="B6" s="47" t="s">
        <v>81</v>
      </c>
      <c r="D6" s="47" t="s">
        <v>82</v>
      </c>
      <c r="G6" s="47" t="s">
        <v>81</v>
      </c>
      <c r="I6" s="47" t="s">
        <v>83</v>
      </c>
    </row>
    <row r="7" spans="2:12" x14ac:dyDescent="0.25">
      <c r="B7" s="52" t="s">
        <v>20</v>
      </c>
      <c r="C7" s="52" t="s">
        <v>84</v>
      </c>
      <c r="D7" s="52" t="s">
        <v>85</v>
      </c>
      <c r="G7" s="52" t="s">
        <v>20</v>
      </c>
      <c r="H7" s="52" t="s">
        <v>84</v>
      </c>
      <c r="I7" s="52" t="s">
        <v>85</v>
      </c>
    </row>
    <row r="8" spans="2:12" x14ac:dyDescent="0.25">
      <c r="B8" s="53">
        <v>1</v>
      </c>
      <c r="C8" s="53">
        <v>10</v>
      </c>
      <c r="D8" s="53">
        <v>1</v>
      </c>
      <c r="G8" s="53">
        <v>1</v>
      </c>
      <c r="H8" s="53">
        <v>10</v>
      </c>
      <c r="I8" s="54">
        <v>10</v>
      </c>
    </row>
    <row r="9" spans="2:12" x14ac:dyDescent="0.25">
      <c r="B9" s="53">
        <v>2</v>
      </c>
      <c r="C9" s="53">
        <v>20</v>
      </c>
      <c r="D9" s="53">
        <v>2</v>
      </c>
      <c r="G9" s="53">
        <v>2</v>
      </c>
      <c r="H9" s="53">
        <v>20</v>
      </c>
      <c r="I9" s="54">
        <v>20</v>
      </c>
    </row>
    <row r="10" spans="2:12" x14ac:dyDescent="0.25">
      <c r="B10" s="53">
        <v>3</v>
      </c>
      <c r="C10" s="53">
        <v>30</v>
      </c>
      <c r="D10" s="53">
        <v>3</v>
      </c>
      <c r="G10" s="53">
        <v>3</v>
      </c>
      <c r="H10" s="53">
        <v>30</v>
      </c>
      <c r="I10" s="54">
        <v>30</v>
      </c>
    </row>
    <row r="11" spans="2:12" x14ac:dyDescent="0.25">
      <c r="B11" s="53">
        <v>4</v>
      </c>
      <c r="C11" s="53">
        <v>40</v>
      </c>
      <c r="D11" s="53">
        <v>4</v>
      </c>
      <c r="G11" s="53">
        <v>4</v>
      </c>
      <c r="H11" s="53">
        <v>40</v>
      </c>
      <c r="I11" s="54">
        <v>40</v>
      </c>
    </row>
    <row r="12" spans="2:12" x14ac:dyDescent="0.25">
      <c r="B12" s="53">
        <v>5</v>
      </c>
      <c r="C12" s="53">
        <v>50</v>
      </c>
      <c r="D12" s="53">
        <v>5</v>
      </c>
      <c r="G12" s="53">
        <v>5</v>
      </c>
      <c r="H12" s="53">
        <v>50</v>
      </c>
      <c r="I12" s="54">
        <v>50</v>
      </c>
    </row>
    <row r="13" spans="2:12" x14ac:dyDescent="0.25">
      <c r="B13" s="53">
        <v>6</v>
      </c>
      <c r="C13" s="53">
        <v>60</v>
      </c>
      <c r="D13" s="53">
        <v>6</v>
      </c>
      <c r="G13" s="53">
        <v>6</v>
      </c>
      <c r="H13" s="53">
        <v>60</v>
      </c>
      <c r="I13" s="54">
        <v>60</v>
      </c>
    </row>
    <row r="14" spans="2:12" x14ac:dyDescent="0.25">
      <c r="B14" s="53">
        <v>7</v>
      </c>
      <c r="C14" s="53">
        <v>70</v>
      </c>
      <c r="D14" s="53">
        <v>7</v>
      </c>
      <c r="G14" s="53">
        <v>7</v>
      </c>
      <c r="H14" s="53">
        <v>70</v>
      </c>
      <c r="I14" s="54">
        <v>70</v>
      </c>
    </row>
    <row r="15" spans="2:12" x14ac:dyDescent="0.25">
      <c r="B15" s="53">
        <v>8</v>
      </c>
      <c r="C15" s="53">
        <v>80</v>
      </c>
      <c r="D15" s="53">
        <v>8</v>
      </c>
      <c r="G15" s="53">
        <v>8</v>
      </c>
      <c r="H15" s="53">
        <v>80</v>
      </c>
      <c r="I15" s="54">
        <v>80</v>
      </c>
    </row>
    <row r="16" spans="2:12" x14ac:dyDescent="0.25">
      <c r="B16" s="53">
        <v>9</v>
      </c>
      <c r="C16" s="53">
        <v>90</v>
      </c>
      <c r="D16" s="53">
        <v>9</v>
      </c>
      <c r="G16" s="53">
        <v>9</v>
      </c>
      <c r="H16" s="53">
        <v>90</v>
      </c>
      <c r="I16" s="54">
        <v>90</v>
      </c>
    </row>
    <row r="17" spans="2:13" x14ac:dyDescent="0.25">
      <c r="B17" s="53">
        <v>10</v>
      </c>
      <c r="C17" s="53">
        <v>100</v>
      </c>
      <c r="D17" s="53">
        <v>10</v>
      </c>
      <c r="G17" s="53">
        <v>10</v>
      </c>
      <c r="H17" s="53">
        <v>100</v>
      </c>
      <c r="I17" s="54">
        <v>100</v>
      </c>
    </row>
    <row r="18" spans="2:13" x14ac:dyDescent="0.25">
      <c r="D18" s="55">
        <f>SUM(D8:D17)</f>
        <v>55</v>
      </c>
      <c r="I18" s="55">
        <f>SUM(I8:I17)</f>
        <v>550</v>
      </c>
    </row>
    <row r="20" spans="2:13" x14ac:dyDescent="0.25">
      <c r="B20" s="47" t="s">
        <v>86</v>
      </c>
    </row>
    <row r="21" spans="2:13" x14ac:dyDescent="0.25">
      <c r="B21" s="47" t="s">
        <v>87</v>
      </c>
      <c r="D21" s="47" t="s">
        <v>88</v>
      </c>
    </row>
    <row r="22" spans="2:13" x14ac:dyDescent="0.25">
      <c r="B22" s="47" t="s">
        <v>89</v>
      </c>
      <c r="E22" s="56"/>
      <c r="G22" s="47" t="s">
        <v>90</v>
      </c>
      <c r="I22" s="47" t="s">
        <v>91</v>
      </c>
      <c r="K22" s="47" t="s">
        <v>92</v>
      </c>
      <c r="M22" s="47" t="s">
        <v>93</v>
      </c>
    </row>
    <row r="23" spans="2:13" x14ac:dyDescent="0.25">
      <c r="C23" s="47" t="s">
        <v>94</v>
      </c>
    </row>
    <row r="24" spans="2:13" x14ac:dyDescent="0.25">
      <c r="C24" s="57" t="s">
        <v>95</v>
      </c>
    </row>
    <row r="26" spans="2:13" x14ac:dyDescent="0.25">
      <c r="B26" s="47" t="s">
        <v>96</v>
      </c>
      <c r="D26" s="47" t="s">
        <v>97</v>
      </c>
      <c r="H26" s="50"/>
      <c r="I26" s="50"/>
      <c r="J26" s="50"/>
    </row>
    <row r="28" spans="2:13" x14ac:dyDescent="0.25">
      <c r="I28" s="47" t="s">
        <v>98</v>
      </c>
    </row>
    <row r="29" spans="2:13" x14ac:dyDescent="0.25">
      <c r="I29" s="47" t="s">
        <v>99</v>
      </c>
    </row>
    <row r="30" spans="2:13" x14ac:dyDescent="0.25">
      <c r="I30" s="47" t="s">
        <v>100</v>
      </c>
    </row>
    <row r="31" spans="2:13" x14ac:dyDescent="0.25">
      <c r="I31" s="47" t="s">
        <v>101</v>
      </c>
    </row>
    <row r="33" spans="9:12" x14ac:dyDescent="0.25">
      <c r="I33" s="58" t="s">
        <v>102</v>
      </c>
      <c r="J33" s="58"/>
      <c r="K33" s="58"/>
      <c r="L33" s="58"/>
    </row>
    <row r="34" spans="9:12" x14ac:dyDescent="0.25">
      <c r="I34" s="58" t="s">
        <v>103</v>
      </c>
      <c r="J34" s="58"/>
      <c r="K34" s="58"/>
      <c r="L34" s="58"/>
    </row>
  </sheetData>
  <hyperlinks>
    <hyperlink ref="C24" r:id="rId1" xr:uid="{00000000-0004-0000-0300-000000000000}"/>
  </hyperlinks>
  <pageMargins left="0.7" right="0.7" top="0.75" bottom="0.75" header="0.511811023622047" footer="0.511811023622047"/>
  <pageSetup paperSize="9" orientation="portrait" horizontalDpi="300" verticalDpi="30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ЗАДАНИЕ</vt:lpstr>
      <vt:lpstr>ОЦЕНКА МНК</vt:lpstr>
      <vt:lpstr>АНАЛИЗ</vt:lpstr>
      <vt:lpstr>ТЕСТ ПОИСК-РЕШЕНИЯ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Оскорбин</dc:creator>
  <dc:description/>
  <cp:lastModifiedBy>Ruslan Vdovin</cp:lastModifiedBy>
  <cp:revision>1</cp:revision>
  <cp:lastPrinted>2015-02-08T08:50:11Z</cp:lastPrinted>
  <dcterms:created xsi:type="dcterms:W3CDTF">2015-02-08T04:05:21Z</dcterms:created>
  <dcterms:modified xsi:type="dcterms:W3CDTF">2026-09-20T11:15:31Z</dcterms:modified>
  <dc:language>ru-RU</dc:language>
</cp:coreProperties>
</file>